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Labs\System modelling\System-modelling\Lab8\Task1\"/>
    </mc:Choice>
  </mc:AlternateContent>
  <xr:revisionPtr revIDLastSave="0" documentId="13_ncr:1_{740C3608-9094-4858-9E7D-CD273137CE83}" xr6:coauthVersionLast="47" xr6:coauthVersionMax="47" xr10:uidLastSave="{00000000-0000-0000-0000-000000000000}"/>
  <bookViews>
    <workbookView xWindow="-120" yWindow="-120" windowWidth="29040" windowHeight="157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DiscreteTimeStatsByRep!$A$1:$K$12</definedName>
    <definedName name="ExternalData_1" localSheetId="6" hidden="1">FrequencyStatsByRep!$A$1:$K$2</definedName>
    <definedName name="ExternalData_1" localSheetId="5" hidden="1">OutputStatsByRep!$A$1:$H$14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L5" i="20" s="1" a="1"/>
  <c r="L5" i="20" s="1"/>
  <c r="I6" i="20"/>
  <c r="P4" i="20" s="1" a="1"/>
  <c r="P4" i="20" s="1"/>
  <c r="I7" i="20"/>
  <c r="I8" i="20"/>
  <c r="I9" i="20"/>
  <c r="I10" i="20"/>
  <c r="I11" i="20"/>
  <c r="I12" i="20"/>
  <c r="L12" i="20" s="1" a="1"/>
  <c r="L12" i="20" s="1"/>
  <c r="I13" i="20"/>
  <c r="I14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K6" i="20" a="1"/>
  <c r="K6" i="20" s="1"/>
  <c r="K10" i="20" a="1"/>
  <c r="K10" i="20" s="1"/>
  <c r="K13" i="20" a="1"/>
  <c r="K13" i="20" s="1"/>
  <c r="K14" i="20" a="1"/>
  <c r="K14" i="20" s="1"/>
  <c r="L4" i="20" a="1"/>
  <c r="L4" i="20" s="1"/>
  <c r="L8" i="20" a="1"/>
  <c r="L8" i="20" s="1"/>
  <c r="L9" i="20" a="1"/>
  <c r="L9" i="20" s="1"/>
  <c r="L14" i="20" a="1"/>
  <c r="L14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O11" i="20" a="1"/>
  <c r="O11" i="20" s="1"/>
  <c r="P6" i="20" a="1"/>
  <c r="P6" i="20" s="1"/>
  <c r="P8" i="20" a="1"/>
  <c r="P8" i="20" s="1"/>
  <c r="P10" i="20" a="1"/>
  <c r="P10" i="20" s="1"/>
  <c r="P11" i="20" a="1"/>
  <c r="P11" i="20" s="1"/>
  <c r="M2" i="18"/>
  <c r="M3" i="18"/>
  <c r="M4" i="18"/>
  <c r="O13" i="18" s="1" a="1"/>
  <c r="O13" i="18" s="1"/>
  <c r="M5" i="18"/>
  <c r="M6" i="18"/>
  <c r="M7" i="18"/>
  <c r="M8" i="18"/>
  <c r="M9" i="18"/>
  <c r="M10" i="18"/>
  <c r="M11" i="18"/>
  <c r="M12" i="18"/>
  <c r="M13" i="18"/>
  <c r="M14" i="18"/>
  <c r="O14" i="18" s="1" a="1"/>
  <c r="O14" i="18" s="1"/>
  <c r="M15" i="18"/>
  <c r="M16" i="18"/>
  <c r="S16" i="18" s="1" a="1"/>
  <c r="S16" i="18" s="1"/>
  <c r="M17" i="18"/>
  <c r="M18" i="18"/>
  <c r="M19" i="18"/>
  <c r="M20" i="18"/>
  <c r="S20" i="18" s="1" a="1"/>
  <c r="S20" i="18" s="1"/>
  <c r="M21" i="18"/>
  <c r="M22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U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U17" i="18"/>
  <c r="L2" i="17"/>
  <c r="L3" i="17"/>
  <c r="R7" i="17" s="1" a="1"/>
  <c r="R7" i="17" s="1"/>
  <c r="L4" i="17"/>
  <c r="L5" i="17"/>
  <c r="L6" i="17"/>
  <c r="L7" i="17"/>
  <c r="L8" i="17"/>
  <c r="L9" i="17"/>
  <c r="L10" i="17"/>
  <c r="L11" i="17"/>
  <c r="L12" i="17"/>
  <c r="M2" i="17" a="1"/>
  <c r="M2" i="17" s="1"/>
  <c r="W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W10" i="17" s="1"/>
  <c r="M11" i="17" a="1"/>
  <c r="M11" i="17" s="1"/>
  <c r="M12" i="17" a="1"/>
  <c r="M12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R6" i="17" a="1"/>
  <c r="R6" i="17" s="1"/>
  <c r="R8" i="17" a="1"/>
  <c r="R8" i="17" s="1"/>
  <c r="S7" i="17" a="1"/>
  <c r="S7" i="17" s="1"/>
  <c r="S9" i="17" a="1"/>
  <c r="S9" i="17" s="1"/>
  <c r="T5" i="17" a="1"/>
  <c r="T5" i="17" s="1"/>
  <c r="T7" i="17" a="1"/>
  <c r="T7" i="17" s="1"/>
  <c r="T8" i="17" a="1"/>
  <c r="T8" i="17" s="1"/>
  <c r="T9" i="17" a="1"/>
  <c r="T9" i="17" s="1"/>
  <c r="T12" i="17" a="1"/>
  <c r="T12" i="17" s="1"/>
  <c r="U6" i="17" a="1"/>
  <c r="U6" i="17" s="1"/>
  <c r="U8" i="17" a="1"/>
  <c r="U8" i="17" s="1"/>
  <c r="U9" i="17" a="1"/>
  <c r="U9" i="17" s="1"/>
  <c r="U10" i="17" a="1"/>
  <c r="U10" i="17" s="1"/>
  <c r="U12" i="17" a="1"/>
  <c r="U12" i="17" s="1"/>
  <c r="V7" i="17" a="1"/>
  <c r="V7" i="17" s="1"/>
  <c r="V9" i="17" a="1"/>
  <c r="V9" i="17" s="1"/>
  <c r="V10" i="17" a="1"/>
  <c r="V10" i="17" s="1"/>
  <c r="V11" i="17" a="1"/>
  <c r="V11" i="17" s="1"/>
  <c r="X2" i="17" a="1"/>
  <c r="X2" i="17" s="1"/>
  <c r="X3" i="17" a="1"/>
  <c r="X3" i="17" s="1"/>
  <c r="X9" i="17" a="1"/>
  <c r="X9" i="17" s="1"/>
  <c r="X10" i="17" a="1"/>
  <c r="X10" i="17" s="1"/>
  <c r="X11" i="17" a="1"/>
  <c r="X11" i="17" s="1"/>
  <c r="G2" i="16"/>
  <c r="N4" i="20" l="1"/>
  <c r="K12" i="20" a="1"/>
  <c r="K12" i="20" s="1"/>
  <c r="L2" i="20" a="1"/>
  <c r="L2" i="20" s="1"/>
  <c r="N2" i="20" s="1"/>
  <c r="P12" i="20" a="1"/>
  <c r="P12" i="20" s="1"/>
  <c r="P3" i="20" a="1"/>
  <c r="P3" i="20" s="1"/>
  <c r="N14" i="20"/>
  <c r="P2" i="20" a="1"/>
  <c r="P2" i="20" s="1"/>
  <c r="N9" i="20"/>
  <c r="N12" i="20"/>
  <c r="O6" i="20" a="1"/>
  <c r="O6" i="20" s="1"/>
  <c r="O9" i="20" a="1"/>
  <c r="O9" i="20" s="1"/>
  <c r="L13" i="20" a="1"/>
  <c r="L13" i="20" s="1"/>
  <c r="N13" i="20" s="1"/>
  <c r="O7" i="20" a="1"/>
  <c r="O7" i="20" s="1"/>
  <c r="L7" i="20" a="1"/>
  <c r="L7" i="20" s="1"/>
  <c r="N7" i="20" s="1"/>
  <c r="P14" i="20" a="1"/>
  <c r="P14" i="20" s="1"/>
  <c r="N8" i="20"/>
  <c r="N5" i="20"/>
  <c r="O8" i="20" a="1"/>
  <c r="O8" i="20" s="1"/>
  <c r="K5" i="20" a="1"/>
  <c r="K5" i="20" s="1"/>
  <c r="K4" i="20" a="1"/>
  <c r="K4" i="20" s="1"/>
  <c r="P9" i="20" a="1"/>
  <c r="P9" i="20" s="1"/>
  <c r="O14" i="20" a="1"/>
  <c r="O14" i="20" s="1"/>
  <c r="L6" i="20" a="1"/>
  <c r="L6" i="20" s="1"/>
  <c r="N6" i="20" s="1"/>
  <c r="K11" i="20" a="1"/>
  <c r="K11" i="20" s="1"/>
  <c r="K3" i="20" a="1"/>
  <c r="K3" i="20" s="1"/>
  <c r="O13" i="20" a="1"/>
  <c r="O13" i="20" s="1"/>
  <c r="O5" i="20" a="1"/>
  <c r="O5" i="20" s="1"/>
  <c r="K2" i="20" a="1"/>
  <c r="K2" i="20" s="1"/>
  <c r="P7" i="20" a="1"/>
  <c r="P7" i="20" s="1"/>
  <c r="O12" i="20" a="1"/>
  <c r="O12" i="20" s="1"/>
  <c r="O4" i="20" a="1"/>
  <c r="O4" i="20" s="1"/>
  <c r="K9" i="20" a="1"/>
  <c r="K9" i="20" s="1"/>
  <c r="O3" i="20" a="1"/>
  <c r="O3" i="20" s="1"/>
  <c r="L11" i="20" a="1"/>
  <c r="L11" i="20" s="1"/>
  <c r="N11" i="20" s="1"/>
  <c r="L3" i="20" a="1"/>
  <c r="L3" i="20" s="1"/>
  <c r="N3" i="20" s="1"/>
  <c r="K8" i="20" a="1"/>
  <c r="K8" i="20" s="1"/>
  <c r="P13" i="20" a="1"/>
  <c r="P13" i="20" s="1"/>
  <c r="P5" i="20" a="1"/>
  <c r="P5" i="20" s="1"/>
  <c r="O10" i="20" a="1"/>
  <c r="O10" i="20" s="1"/>
  <c r="O2" i="20" a="1"/>
  <c r="O2" i="20" s="1"/>
  <c r="L10" i="20" a="1"/>
  <c r="L10" i="20" s="1"/>
  <c r="N10" i="20" s="1"/>
  <c r="K7" i="20" a="1"/>
  <c r="K7" i="20" s="1"/>
  <c r="T6" i="18" a="1"/>
  <c r="T6" i="18" s="1"/>
  <c r="T14" i="18" a="1"/>
  <c r="T14" i="18" s="1"/>
  <c r="P7" i="18" a="1"/>
  <c r="P7" i="18" s="1"/>
  <c r="O10" i="18" a="1"/>
  <c r="O10" i="18" s="1"/>
  <c r="S17" i="18" a="1"/>
  <c r="S17" i="18" s="1"/>
  <c r="T13" i="18" a="1"/>
  <c r="T13" i="18" s="1"/>
  <c r="O9" i="18" a="1"/>
  <c r="O9" i="18" s="1"/>
  <c r="T21" i="18" a="1"/>
  <c r="T21" i="18" s="1"/>
  <c r="P21" i="18" a="1"/>
  <c r="P21" i="18" s="1"/>
  <c r="P5" i="18" a="1"/>
  <c r="P5" i="18" s="1"/>
  <c r="O8" i="18" a="1"/>
  <c r="O8" i="18" s="1"/>
  <c r="S15" i="18" a="1"/>
  <c r="S15" i="18" s="1"/>
  <c r="P6" i="18" a="1"/>
  <c r="P6" i="18" s="1"/>
  <c r="R6" i="18" s="1"/>
  <c r="T11" i="18" a="1"/>
  <c r="T11" i="18" s="1"/>
  <c r="T2" i="18" a="1"/>
  <c r="T2" i="18" s="1"/>
  <c r="S14" i="18" a="1"/>
  <c r="S14" i="18" s="1"/>
  <c r="P20" i="18" a="1"/>
  <c r="P20" i="18" s="1"/>
  <c r="P4" i="18" a="1"/>
  <c r="P4" i="18" s="1"/>
  <c r="O2" i="18" a="1"/>
  <c r="O2" i="18" s="1"/>
  <c r="P22" i="18" a="1"/>
  <c r="P22" i="18" s="1"/>
  <c r="T20" i="18" a="1"/>
  <c r="T20" i="18" s="1"/>
  <c r="P19" i="18" a="1"/>
  <c r="P19" i="18" s="1"/>
  <c r="P3" i="18" a="1"/>
  <c r="P3" i="18" s="1"/>
  <c r="T12" i="18" a="1"/>
  <c r="T12" i="18" s="1"/>
  <c r="T10" i="18" a="1"/>
  <c r="T10" i="18" s="1"/>
  <c r="P2" i="18" a="1"/>
  <c r="P2" i="18" s="1"/>
  <c r="S4" i="18" a="1"/>
  <c r="S4" i="18" s="1"/>
  <c r="T22" i="18" a="1"/>
  <c r="T22" i="18" s="1"/>
  <c r="P18" i="18" a="1"/>
  <c r="P18" i="18" s="1"/>
  <c r="R18" i="18" s="1"/>
  <c r="T19" i="18" a="1"/>
  <c r="T19" i="18" s="1"/>
  <c r="P17" i="18" a="1"/>
  <c r="P17" i="18" s="1"/>
  <c r="R17" i="18" s="1"/>
  <c r="O22" i="18" a="1"/>
  <c r="O22" i="18" s="1"/>
  <c r="O3" i="18" a="1"/>
  <c r="O3" i="18" s="1"/>
  <c r="T9" i="18" a="1"/>
  <c r="T9" i="18" s="1"/>
  <c r="S21" i="18" a="1"/>
  <c r="S21" i="18" s="1"/>
  <c r="S12" i="18" a="1"/>
  <c r="S12" i="18" s="1"/>
  <c r="P16" i="18" a="1"/>
  <c r="P16" i="18" s="1"/>
  <c r="O21" i="18" a="1"/>
  <c r="O21" i="18" s="1"/>
  <c r="T18" i="18" a="1"/>
  <c r="T18" i="18" s="1"/>
  <c r="P15" i="18" a="1"/>
  <c r="P15" i="18" s="1"/>
  <c r="O20" i="18" a="1"/>
  <c r="O20" i="18" s="1"/>
  <c r="S9" i="18" a="1"/>
  <c r="S9" i="18" s="1"/>
  <c r="S13" i="18" a="1"/>
  <c r="S13" i="18" s="1"/>
  <c r="T8" i="18" a="1"/>
  <c r="T8" i="18" s="1"/>
  <c r="S11" i="18" a="1"/>
  <c r="S11" i="18" s="1"/>
  <c r="R9" i="18"/>
  <c r="P14" i="18" a="1"/>
  <c r="P14" i="18" s="1"/>
  <c r="R14" i="18" s="1"/>
  <c r="O19" i="18" a="1"/>
  <c r="O19" i="18" s="1"/>
  <c r="S18" i="18" a="1"/>
  <c r="S18" i="18" s="1"/>
  <c r="S22" i="18" a="1"/>
  <c r="S22" i="18" s="1"/>
  <c r="T17" i="18" a="1"/>
  <c r="T17" i="18" s="1"/>
  <c r="P13" i="18" a="1"/>
  <c r="P13" i="18" s="1"/>
  <c r="O18" i="18" a="1"/>
  <c r="O18" i="18" s="1"/>
  <c r="T3" i="18" a="1"/>
  <c r="T3" i="18" s="1"/>
  <c r="T7" i="18" a="1"/>
  <c r="T7" i="18" s="1"/>
  <c r="S19" i="18" a="1"/>
  <c r="S19" i="18" s="1"/>
  <c r="S7" i="18" a="1"/>
  <c r="S7" i="18" s="1"/>
  <c r="P12" i="18" a="1"/>
  <c r="P12" i="18" s="1"/>
  <c r="O17" i="18" a="1"/>
  <c r="O17" i="18" s="1"/>
  <c r="T4" i="18" a="1"/>
  <c r="T4" i="18" s="1"/>
  <c r="T16" i="18" a="1"/>
  <c r="T16" i="18" s="1"/>
  <c r="P11" i="18" a="1"/>
  <c r="P11" i="18" s="1"/>
  <c r="O16" i="18" a="1"/>
  <c r="O16" i="18" s="1"/>
  <c r="T15" i="18" a="1"/>
  <c r="T15" i="18" s="1"/>
  <c r="P9" i="18" a="1"/>
  <c r="P9" i="18" s="1"/>
  <c r="P10" i="18" a="1"/>
  <c r="P10" i="18" s="1"/>
  <c r="R10" i="18" s="1"/>
  <c r="O15" i="18" a="1"/>
  <c r="O15" i="18" s="1"/>
  <c r="T5" i="18" a="1"/>
  <c r="T5" i="18" s="1"/>
  <c r="P8" i="18" a="1"/>
  <c r="P8" i="18" s="1"/>
  <c r="U20" i="18"/>
  <c r="R20" i="18"/>
  <c r="U6" i="18"/>
  <c r="U19" i="18"/>
  <c r="R19" i="18"/>
  <c r="R5" i="18"/>
  <c r="U5" i="18"/>
  <c r="R8" i="18"/>
  <c r="U8" i="18"/>
  <c r="U3" i="18"/>
  <c r="R3" i="18"/>
  <c r="U2" i="18"/>
  <c r="R2" i="18"/>
  <c r="U10" i="18"/>
  <c r="U15" i="18"/>
  <c r="R15" i="18"/>
  <c r="U14" i="18"/>
  <c r="R11" i="18"/>
  <c r="U11" i="18"/>
  <c r="R22" i="18"/>
  <c r="U22" i="18"/>
  <c r="R21" i="18"/>
  <c r="U21" i="18"/>
  <c r="U18" i="18"/>
  <c r="U16" i="18"/>
  <c r="R16" i="18"/>
  <c r="U13" i="18"/>
  <c r="R13" i="18"/>
  <c r="R7" i="18"/>
  <c r="U7" i="18"/>
  <c r="U4" i="18"/>
  <c r="R4" i="18"/>
  <c r="U12" i="18"/>
  <c r="R12" i="18"/>
  <c r="S8" i="18" a="1"/>
  <c r="S8" i="18" s="1"/>
  <c r="S6" i="18" a="1"/>
  <c r="S6" i="18" s="1"/>
  <c r="O7" i="18" a="1"/>
  <c r="O7" i="18" s="1"/>
  <c r="S5" i="18" a="1"/>
  <c r="S5" i="18" s="1"/>
  <c r="O6" i="18" a="1"/>
  <c r="O6" i="18" s="1"/>
  <c r="O5" i="18" a="1"/>
  <c r="O5" i="18" s="1"/>
  <c r="S3" i="18" a="1"/>
  <c r="S3" i="18" s="1"/>
  <c r="O12" i="18" a="1"/>
  <c r="O12" i="18" s="1"/>
  <c r="O4" i="18" a="1"/>
  <c r="O4" i="18" s="1"/>
  <c r="S10" i="18" a="1"/>
  <c r="S10" i="18" s="1"/>
  <c r="S2" i="18" a="1"/>
  <c r="S2" i="18" s="1"/>
  <c r="O11" i="18" a="1"/>
  <c r="O11" i="18" s="1"/>
  <c r="X12" i="17" a="1"/>
  <c r="X12" i="17" s="1"/>
  <c r="V8" i="17" a="1"/>
  <c r="V8" i="17" s="1"/>
  <c r="U7" i="17" a="1"/>
  <c r="U7" i="17" s="1"/>
  <c r="O12" i="17" a="1"/>
  <c r="O12" i="17" s="1"/>
  <c r="T6" i="17" a="1"/>
  <c r="T6" i="17" s="1"/>
  <c r="S6" i="17" a="1"/>
  <c r="S6" i="17" s="1"/>
  <c r="R4" i="17" a="1"/>
  <c r="R4" i="17" s="1"/>
  <c r="O10" i="17" a="1"/>
  <c r="O10" i="17" s="1"/>
  <c r="S5" i="17" a="1"/>
  <c r="S5" i="17" s="1"/>
  <c r="R3" i="17" a="1"/>
  <c r="R3" i="17" s="1"/>
  <c r="O9" i="17" a="1"/>
  <c r="O9" i="17" s="1"/>
  <c r="V6" i="17" a="1"/>
  <c r="V6" i="17" s="1"/>
  <c r="U5" i="17" a="1"/>
  <c r="U5" i="17" s="1"/>
  <c r="S4" i="17" a="1"/>
  <c r="S4" i="17" s="1"/>
  <c r="O2" i="17" a="1"/>
  <c r="O2" i="17" s="1"/>
  <c r="X8" i="17" a="1"/>
  <c r="X8" i="17" s="1"/>
  <c r="Y8" i="17" s="1"/>
  <c r="Q8" i="17" s="1"/>
  <c r="V5" i="17" a="1"/>
  <c r="V5" i="17" s="1"/>
  <c r="U4" i="17" a="1"/>
  <c r="U4" i="17" s="1"/>
  <c r="T4" i="17" a="1"/>
  <c r="T4" i="17" s="1"/>
  <c r="R2" i="17" a="1"/>
  <c r="R2" i="17" s="1"/>
  <c r="N12" i="17" a="1"/>
  <c r="N12" i="17" s="1"/>
  <c r="X7" i="17" a="1"/>
  <c r="X7" i="17" s="1"/>
  <c r="V4" i="17" a="1"/>
  <c r="V4" i="17" s="1"/>
  <c r="T3" i="17" a="1"/>
  <c r="T3" i="17" s="1"/>
  <c r="S3" i="17" a="1"/>
  <c r="S3" i="17" s="1"/>
  <c r="N8" i="17" a="1"/>
  <c r="N8" i="17" s="1"/>
  <c r="X6" i="17" a="1"/>
  <c r="X6" i="17" s="1"/>
  <c r="Y6" i="17" s="1"/>
  <c r="V3" i="17" a="1"/>
  <c r="V3" i="17" s="1"/>
  <c r="U3" i="17" a="1"/>
  <c r="U3" i="17" s="1"/>
  <c r="T2" i="17" a="1"/>
  <c r="T2" i="17" s="1"/>
  <c r="S2" i="17" a="1"/>
  <c r="S2" i="17" s="1"/>
  <c r="N6" i="17" a="1"/>
  <c r="N6" i="17" s="1"/>
  <c r="X5" i="17" a="1"/>
  <c r="X5" i="17" s="1"/>
  <c r="U2" i="17" a="1"/>
  <c r="U2" i="17" s="1"/>
  <c r="S12" i="17" a="1"/>
  <c r="S12" i="17" s="1"/>
  <c r="N5" i="17" a="1"/>
  <c r="N5" i="17" s="1"/>
  <c r="X4" i="17" a="1"/>
  <c r="X4" i="17" s="1"/>
  <c r="V2" i="17" a="1"/>
  <c r="V2" i="17" s="1"/>
  <c r="R12" i="17" a="1"/>
  <c r="R12" i="17" s="1"/>
  <c r="S11" i="17" a="1"/>
  <c r="S11" i="17" s="1"/>
  <c r="R11" i="17" a="1"/>
  <c r="R11" i="17" s="1"/>
  <c r="R5" i="17" a="1"/>
  <c r="R5" i="17" s="1"/>
  <c r="T11" i="17" a="1"/>
  <c r="T11" i="17" s="1"/>
  <c r="S10" i="17" a="1"/>
  <c r="S10" i="17" s="1"/>
  <c r="N9" i="17" a="1"/>
  <c r="N9" i="17" s="1"/>
  <c r="V12" i="17" a="1"/>
  <c r="V12" i="17" s="1"/>
  <c r="U11" i="17" a="1"/>
  <c r="U11" i="17" s="1"/>
  <c r="T10" i="17" a="1"/>
  <c r="T10" i="17" s="1"/>
  <c r="R10" i="17" a="1"/>
  <c r="R10" i="17" s="1"/>
  <c r="S8" i="17" a="1"/>
  <c r="S8" i="17" s="1"/>
  <c r="O11" i="17" a="1"/>
  <c r="O11" i="17" s="1"/>
  <c r="N7" i="17" a="1"/>
  <c r="N7" i="17" s="1"/>
  <c r="O8" i="17" a="1"/>
  <c r="O8" i="17" s="1"/>
  <c r="N4" i="17" a="1"/>
  <c r="N4" i="17" s="1"/>
  <c r="O7" i="17" a="1"/>
  <c r="O7" i="17" s="1"/>
  <c r="N3" i="17" a="1"/>
  <c r="N3" i="17" s="1"/>
  <c r="Y2" i="17"/>
  <c r="R9" i="17" a="1"/>
  <c r="R9" i="17" s="1"/>
  <c r="O6" i="17" a="1"/>
  <c r="O6" i="17" s="1"/>
  <c r="N2" i="17" a="1"/>
  <c r="N2" i="17" s="1"/>
  <c r="O5" i="17" a="1"/>
  <c r="O5" i="17" s="1"/>
  <c r="O4" i="17" a="1"/>
  <c r="O4" i="17" s="1"/>
  <c r="O3" i="17" a="1"/>
  <c r="O3" i="17" s="1"/>
  <c r="Y10" i="17"/>
  <c r="Q10" i="17" s="1"/>
  <c r="N11" i="17" a="1"/>
  <c r="N11" i="17" s="1"/>
  <c r="N10" i="17" a="1"/>
  <c r="N10" i="17" s="1"/>
  <c r="Y5" i="17"/>
  <c r="W5" i="17"/>
  <c r="W4" i="17"/>
  <c r="Y4" i="17"/>
  <c r="W3" i="17"/>
  <c r="Y3" i="17"/>
  <c r="W12" i="17"/>
  <c r="Y12" i="17"/>
  <c r="Q12" i="17" s="1"/>
  <c r="W11" i="17"/>
  <c r="Y11" i="17"/>
  <c r="Q11" i="17" s="1"/>
  <c r="W8" i="17"/>
  <c r="W9" i="17"/>
  <c r="Y9" i="17"/>
  <c r="Q9" i="17" s="1"/>
  <c r="W7" i="17"/>
  <c r="Y7" i="17"/>
  <c r="W6" i="17"/>
  <c r="Q2" i="17" l="1"/>
  <c r="Q4" i="17"/>
  <c r="Q3" i="17"/>
  <c r="Q6" i="17"/>
  <c r="Q7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labs\system modelling\system-modelling\lab8\task1\task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d:\labs\system modelling\system-modelling\lab8\task1\task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d:\labs\system modelling\system-modelling\lab8\task1\task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d:\labs\system modelling\system-modelling\lab8\task1\task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d:\labs\system modelling\system-modelling\lab8\task1\task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d:\labs\system modelling\system-modelling\lab8\task1\task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<sst xmlns="http://schemas.openxmlformats.org/spreadsheetml/2006/main" count="513" uniqueCount="115">
  <si>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</si>
  <si>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</si>
  <si>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</si>
  <si>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</si>
  <si>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</si>
  <si>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</si>
  <si>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</si>
  <si>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</si>
  <si>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</si>
  <si>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</si>
  <si>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</si>
  <si>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</si>
  <si>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</si>
  <si>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</si>
  <si>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</si>
  <si>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</si>
  <si>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</si>
  <si>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</si>
  <si>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</si>
  <si>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</si>
  <si>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</si>
  <si>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</si>
  <si>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</si>
  <si>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</si>
  <si>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</si>
  <si>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</si>
  <si>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</si>
  <si>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</si>
  <si>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</si>
  <si>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</si>
  <si>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</si>
  <si>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</si>
  <si>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</si>
  <si>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</si>
  <si>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</si>
  <si>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</si>
  <si>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</si>
  <si>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</si>
  <si>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</si>
  <si>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</si>
  <si>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</si>
  <si>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</si>
  <si>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</si>
  <si>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</si>
  <si>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</si>
  <si>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</si>
  <si>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</si>
  <si>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</si>
  <si>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</si>
  <si>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</si>
  <si>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</si>
  <si>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</si>
  <si>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</si>
  <si>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</si>
  <si>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</si>
  <si>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</si>
  <si>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</si>
  <si>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</si>
  <si>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</si>
  <si>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</si>
  <si>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</si>
  <si>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</si>
  <si>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</si>
  <si>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</si>
  <si>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</si>
  <si>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</si>
  <si>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</si>
  <si>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</si>
  <si>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</si>
  <si>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D:\Labs\System modelling\System-modelling\Lab8\Task1\task1.p</t>
  </si>
  <si>
    <t>2023-12-18 11:46:35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</si>
  <si>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</si>
  <si>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</si>
  <si>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</si>
  <si>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</si>
  <si>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</si>
  <si>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</si>
  <si>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</si>
  <si>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</si>
  <si>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M1.Queue</t>
  </si>
  <si>
    <t>Waiting Time</t>
  </si>
  <si>
    <t>Queue</t>
  </si>
  <si>
    <t>M2.Queue</t>
  </si>
  <si>
    <t>M3.Queue</t>
  </si>
  <si>
    <t>M4.Queue</t>
  </si>
  <si>
    <t>M5.Queue</t>
  </si>
  <si>
    <t>WIP</t>
  </si>
  <si>
    <t>Number Waiting</t>
  </si>
  <si>
    <t>Resource 1</t>
  </si>
  <si>
    <t>Instantaneous Utilization</t>
  </si>
  <si>
    <t>Resource</t>
  </si>
  <si>
    <t>Number Busy</t>
  </si>
  <si>
    <t>Number Scheduled</t>
  </si>
  <si>
    <t>Resource 2</t>
  </si>
  <si>
    <t>Resource 3</t>
  </si>
  <si>
    <t>Resource 4</t>
  </si>
  <si>
    <t>Resource 5</t>
  </si>
  <si>
    <t>Entity 1.NumberIn</t>
  </si>
  <si>
    <t>Number In</t>
  </si>
  <si>
    <t>Entity 1.NumberOut</t>
  </si>
  <si>
    <t>Number Out</t>
  </si>
  <si>
    <t>Resource 1.NumberSeized</t>
  </si>
  <si>
    <t>Total Number Seized</t>
  </si>
  <si>
    <t>Resource 1.ScheduledUtilization</t>
  </si>
  <si>
    <t>Scheduled Utilization</t>
  </si>
  <si>
    <t>Resource 2.NumberSeized</t>
  </si>
  <si>
    <t>Resource 2.ScheduledUtilization</t>
  </si>
  <si>
    <t>Resource 3.NumberSeized</t>
  </si>
  <si>
    <t>Resource 3.ScheduledUtilization</t>
  </si>
  <si>
    <t>Resource 4.NumberSeized</t>
  </si>
  <si>
    <t>Resource 4.ScheduledUtilization</t>
  </si>
  <si>
    <t>Resource 5.NumberSeized</t>
  </si>
  <si>
    <t>Resource 5.ScheduledUtilization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</si>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</sst>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сим Терешкович" refreshedDate="45278.490782523149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сим Терешкович" refreshedDate="45278.490782754627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3">
        <s v="Entity 1"/>
        <s v="M1.Queue"/>
        <s v="M2.Queue"/>
        <s v="M3.Queue"/>
        <s v="M4.Queue"/>
        <s v="M5.Queue"/>
        <s v="Resource 1"/>
        <s v="Resource 2"/>
        <s v="Resource 3"/>
        <s v="Resource 4"/>
        <s v="Resource 5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30.7045460087285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71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0.7045460087285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0.704546008728599"/>
    </cacheField>
    <cacheField name="MaximumAverage" numFmtId="0">
      <sharedItems containsSemiMixedTypes="0" containsString="0" containsNumber="1" minValue="0" maxValue="30.704546008728599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сим Терешкович" refreshedDate="45278.49078298611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сим Терешкович" refreshedDate="45278.49078310185" createdVersion="7" refreshedVersion="8" minRefreshableVersion="3" recordCount="11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4">
        <s v="Entity 1"/>
        <s v="M1.Queue"/>
        <s v="M2.Queue"/>
        <s v="M3.Queue"/>
        <s v="M4.Queue"/>
        <s v="M5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0.241660622988845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.0181395237181998E-3"/>
    </cacheField>
    <cacheField name="Maximum" numFmtId="0">
      <sharedItems containsSemiMixedTypes="0" containsString="0" containsNumber="1" minValue="0" maxValue="0.90179705286215495"/>
    </cacheField>
    <cacheField name="NumberObservations" numFmtId="0">
      <sharedItems containsSemiMixedTypes="0" containsString="0" containsNumber="1" containsInteger="1" minValue="23" maxValue="14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0.241660622988845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0.241660622988845"/>
    </cacheField>
    <cacheField name="MaximumAverage" numFmtId="0">
      <sharedItems containsSemiMixedTypes="0" containsString="0" containsNumber="1" minValue="0" maxValue="0.241660622988845"/>
    </cacheField>
    <cacheField name="OverallMinimum" numFmtId="0">
      <sharedItems containsSemiMixedTypes="0" containsString="0" containsNumber="1" minValue="0" maxValue="2.0181395237181998E-3"/>
    </cacheField>
    <cacheField name="OverallMaximum" numFmtId="0">
      <sharedItems containsSemiMixedTypes="0" containsString="0" containsNumber="1" minValue="0" maxValue="0.90179705286215495"/>
    </cacheField>
    <cacheField name="AverageNumberObservations" numFmtId="0">
      <sharedItems containsSemiMixedTypes="0" containsString="0" containsNumber="1" containsInteger="1" minValue="23" maxValue="14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Максим Терешкович" refreshedDate="45278.490783333335" createdVersion="7" refreshedVersion="8" minRefreshableVersion="3" recordCount="1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Entity 1.NumberIn"/>
        <s v="Entity 1.NumberOut"/>
        <s v="Resource 1.NumberSeized"/>
        <s v="Resource 1.ScheduledUtilization"/>
        <s v="Resource 2.NumberSeized"/>
        <s v="Resource 2.ScheduledUtilization"/>
        <s v="Resource 3.NumberSeized"/>
        <s v="Resource 3.ScheduledUtilization"/>
        <s v="Resource 4.NumberSeized"/>
        <s v="Resource 4.ScheduledUtilization"/>
        <s v="Resource 5.NumberSeized"/>
        <s v="Resource 5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34817881486354901" maxValue="14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34817881486354901" maxValue="14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34817881486354901" maxValue="140"/>
    </cacheField>
    <cacheField name="Maximum" numFmtId="0">
      <sharedItems containsSemiMixedTypes="0" containsString="0" containsNumber="1" minValue="0.34817881486354901" maxValue="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3-12-18 11:46:35"/>
    <n v="1"/>
    <x v="0"/>
    <x v="0"/>
    <x v="0"/>
    <n v="30.704546008728599"/>
    <n v="2E+20"/>
    <n v="0"/>
    <n v="71"/>
    <n v="0"/>
    <n v="0"/>
    <s v="Unnamed ProjectEntity 1WIPEntity"/>
    <n v="1"/>
    <n v="30.704546008728599"/>
    <n v="0"/>
    <n v="0.95"/>
    <n v="4E+20"/>
    <n v="30.704546008728599"/>
    <n v="30.704546008728599"/>
    <n v="2E+20"/>
  </r>
  <r>
    <x v="0"/>
    <s v="2023-12-18 11:46:35"/>
    <n v="1"/>
    <x v="1"/>
    <x v="1"/>
    <x v="1"/>
    <n v="0"/>
    <n v="2E+20"/>
    <n v="0"/>
    <n v="0"/>
    <n v="0"/>
    <n v="0"/>
    <s v="Unnamed ProjectM1.QueueNumber WaitingQueue"/>
    <n v="1"/>
    <n v="0"/>
    <n v="0"/>
    <n v="0.95"/>
    <n v="4E+20"/>
    <n v="0"/>
    <n v="0"/>
    <n v="2E+20"/>
  </r>
  <r>
    <x v="0"/>
    <s v="2023-12-18 11:46:35"/>
    <n v="1"/>
    <x v="2"/>
    <x v="1"/>
    <x v="1"/>
    <n v="0"/>
    <n v="2E+20"/>
    <n v="0"/>
    <n v="0"/>
    <n v="0"/>
    <n v="0"/>
    <s v="Unnamed ProjectM2.QueueNumber WaitingQueue"/>
    <n v="1"/>
    <n v="0"/>
    <n v="0"/>
    <n v="0.95"/>
    <n v="4E+20"/>
    <n v="0"/>
    <n v="0"/>
    <n v="2E+20"/>
  </r>
  <r>
    <x v="0"/>
    <s v="2023-12-18 11:46:35"/>
    <n v="1"/>
    <x v="3"/>
    <x v="1"/>
    <x v="1"/>
    <n v="0"/>
    <n v="2E+20"/>
    <n v="0"/>
    <n v="0"/>
    <n v="0"/>
    <n v="0"/>
    <s v="Unnamed ProjectM3.QueueNumber WaitingQueue"/>
    <n v="1"/>
    <n v="0"/>
    <n v="0"/>
    <n v="0.95"/>
    <n v="4E+20"/>
    <n v="0"/>
    <n v="0"/>
    <n v="2E+20"/>
  </r>
  <r>
    <x v="0"/>
    <s v="2023-12-18 11:46:35"/>
    <n v="1"/>
    <x v="4"/>
    <x v="1"/>
    <x v="1"/>
    <n v="0"/>
    <n v="2E+20"/>
    <n v="0"/>
    <n v="0"/>
    <n v="0"/>
    <n v="0"/>
    <s v="Unnamed ProjectM4.QueueNumber WaitingQueue"/>
    <n v="1"/>
    <n v="0"/>
    <n v="0"/>
    <n v="0.95"/>
    <n v="4E+20"/>
    <n v="0"/>
    <n v="0"/>
    <n v="2E+20"/>
  </r>
  <r>
    <x v="0"/>
    <s v="2023-12-18 11:46:35"/>
    <n v="1"/>
    <x v="5"/>
    <x v="1"/>
    <x v="1"/>
    <n v="0"/>
    <n v="2E+20"/>
    <n v="0"/>
    <n v="0"/>
    <n v="0"/>
    <n v="0"/>
    <s v="Unnamed ProjectM5.QueueNumber WaitingQueue"/>
    <n v="1"/>
    <n v="0"/>
    <n v="0"/>
    <n v="0.95"/>
    <n v="4E+20"/>
    <n v="0"/>
    <n v="0"/>
    <n v="2E+20"/>
  </r>
  <r>
    <x v="0"/>
    <s v="2023-12-18 11:46:35"/>
    <n v="1"/>
    <x v="6"/>
    <x v="2"/>
    <x v="2"/>
    <n v="0.58354932235420398"/>
    <n v="2E+20"/>
    <n v="0"/>
    <n v="1"/>
    <n v="0"/>
    <n v="0"/>
    <s v="Unnamed ProjectResource 1Instantaneous UtilizationResource"/>
    <n v="1"/>
    <n v="0.58354932235420398"/>
    <n v="0"/>
    <n v="0.95"/>
    <n v="4E+20"/>
    <n v="0.58354932235420398"/>
    <n v="0.58354932235420398"/>
    <n v="2E+20"/>
  </r>
  <r>
    <x v="0"/>
    <s v="2023-12-18 11:46:35"/>
    <n v="1"/>
    <x v="6"/>
    <x v="3"/>
    <x v="2"/>
    <n v="0.58354932235420398"/>
    <n v="2E+20"/>
    <n v="0"/>
    <n v="1"/>
    <n v="0"/>
    <n v="0"/>
    <s v="Unnamed ProjectResource 1Number BusyResource"/>
    <n v="1"/>
    <n v="0.58354932235420398"/>
    <n v="0"/>
    <n v="0.95"/>
    <n v="4E+20"/>
    <n v="0.58354932235420398"/>
    <n v="0.58354932235420398"/>
    <n v="2E+20"/>
  </r>
  <r>
    <x v="0"/>
    <s v="2023-12-18 11:46:35"/>
    <n v="1"/>
    <x v="6"/>
    <x v="4"/>
    <x v="2"/>
    <n v="1"/>
    <n v="2E+20"/>
    <n v="1"/>
    <n v="1"/>
    <n v="1"/>
    <n v="0"/>
    <s v="Unnamed ProjectResource 1Number ScheduledResource"/>
    <n v="1"/>
    <n v="1"/>
    <n v="0"/>
    <n v="0.95"/>
    <n v="4E+20"/>
    <n v="1"/>
    <n v="1"/>
    <n v="2E+20"/>
  </r>
  <r>
    <x v="0"/>
    <s v="2023-12-18 11:46:35"/>
    <n v="1"/>
    <x v="7"/>
    <x v="2"/>
    <x v="2"/>
    <n v="0.50782121745664099"/>
    <n v="2E+20"/>
    <n v="0"/>
    <n v="1"/>
    <n v="0"/>
    <n v="0"/>
    <s v="Unnamed ProjectResource 2Instantaneous UtilizationResource"/>
    <n v="1"/>
    <n v="0.50782121745664099"/>
    <n v="0"/>
    <n v="0.95"/>
    <n v="4E+20"/>
    <n v="0.50782121745664099"/>
    <n v="0.50782121745664099"/>
    <n v="2E+20"/>
  </r>
  <r>
    <x v="0"/>
    <s v="2023-12-18 11:46:35"/>
    <n v="1"/>
    <x v="7"/>
    <x v="3"/>
    <x v="2"/>
    <n v="0.50782121745664099"/>
    <n v="2E+20"/>
    <n v="0"/>
    <n v="1"/>
    <n v="0"/>
    <n v="0"/>
    <s v="Unnamed ProjectResource 2Number BusyResource"/>
    <n v="1"/>
    <n v="0.50782121745664099"/>
    <n v="0"/>
    <n v="0.95"/>
    <n v="4E+20"/>
    <n v="0.50782121745664099"/>
    <n v="0.50782121745664099"/>
    <n v="2E+20"/>
  </r>
  <r>
    <x v="0"/>
    <s v="2023-12-18 11:46:35"/>
    <n v="1"/>
    <x v="7"/>
    <x v="4"/>
    <x v="2"/>
    <n v="1"/>
    <n v="2E+20"/>
    <n v="1"/>
    <n v="1"/>
    <n v="1"/>
    <n v="0"/>
    <s v="Unnamed ProjectResource 2Number ScheduledResource"/>
    <n v="1"/>
    <n v="1"/>
    <n v="0"/>
    <n v="0.95"/>
    <n v="4E+20"/>
    <n v="1"/>
    <n v="1"/>
    <n v="2E+20"/>
  </r>
  <r>
    <x v="0"/>
    <s v="2023-12-18 11:46:35"/>
    <n v="1"/>
    <x v="8"/>
    <x v="2"/>
    <x v="2"/>
    <n v="0.53766287402363"/>
    <n v="2E+20"/>
    <n v="0"/>
    <n v="1"/>
    <n v="0"/>
    <n v="0"/>
    <s v="Unnamed ProjectResource 3Instantaneous UtilizationResource"/>
    <n v="1"/>
    <n v="0.53766287402363"/>
    <n v="0"/>
    <n v="0.95"/>
    <n v="4E+20"/>
    <n v="0.53766287402363"/>
    <n v="0.53766287402363"/>
    <n v="2E+20"/>
  </r>
  <r>
    <x v="0"/>
    <s v="2023-12-18 11:46:35"/>
    <n v="1"/>
    <x v="8"/>
    <x v="3"/>
    <x v="2"/>
    <n v="0.53766287402363"/>
    <n v="2E+20"/>
    <n v="0"/>
    <n v="1"/>
    <n v="0"/>
    <n v="0"/>
    <s v="Unnamed ProjectResource 3Number BusyResource"/>
    <n v="1"/>
    <n v="0.53766287402363"/>
    <n v="0"/>
    <n v="0.95"/>
    <n v="4E+20"/>
    <n v="0.53766287402363"/>
    <n v="0.53766287402363"/>
    <n v="2E+20"/>
  </r>
  <r>
    <x v="0"/>
    <s v="2023-12-18 11:46:35"/>
    <n v="1"/>
    <x v="8"/>
    <x v="4"/>
    <x v="2"/>
    <n v="1"/>
    <n v="2E+20"/>
    <n v="1"/>
    <n v="1"/>
    <n v="1"/>
    <n v="0"/>
    <s v="Unnamed ProjectResource 3Number ScheduledResource"/>
    <n v="1"/>
    <n v="1"/>
    <n v="0"/>
    <n v="0.95"/>
    <n v="4E+20"/>
    <n v="1"/>
    <n v="1"/>
    <n v="2E+20"/>
  </r>
  <r>
    <x v="0"/>
    <s v="2023-12-18 11:46:35"/>
    <n v="1"/>
    <x v="9"/>
    <x v="2"/>
    <x v="2"/>
    <n v="0.48752045692816198"/>
    <n v="2E+20"/>
    <n v="0"/>
    <n v="1"/>
    <n v="0"/>
    <n v="0"/>
    <s v="Unnamed ProjectResource 4Instantaneous UtilizationResource"/>
    <n v="1"/>
    <n v="0.48752045692816198"/>
    <n v="0"/>
    <n v="0.95"/>
    <n v="4E+20"/>
    <n v="0.48752045692816198"/>
    <n v="0.48752045692816198"/>
    <n v="2E+20"/>
  </r>
  <r>
    <x v="0"/>
    <s v="2023-12-18 11:46:35"/>
    <n v="1"/>
    <x v="9"/>
    <x v="3"/>
    <x v="2"/>
    <n v="0.48752045692816198"/>
    <n v="2E+20"/>
    <n v="0"/>
    <n v="1"/>
    <n v="0"/>
    <n v="0"/>
    <s v="Unnamed ProjectResource 4Number BusyResource"/>
    <n v="1"/>
    <n v="0.48752045692816198"/>
    <n v="0"/>
    <n v="0.95"/>
    <n v="4E+20"/>
    <n v="0.48752045692816198"/>
    <n v="0.48752045692816198"/>
    <n v="2E+20"/>
  </r>
  <r>
    <x v="0"/>
    <s v="2023-12-18 11:46:35"/>
    <n v="1"/>
    <x v="9"/>
    <x v="4"/>
    <x v="2"/>
    <n v="1"/>
    <n v="2E+20"/>
    <n v="1"/>
    <n v="1"/>
    <n v="1"/>
    <n v="0"/>
    <s v="Unnamed ProjectResource 4Number ScheduledResource"/>
    <n v="1"/>
    <n v="1"/>
    <n v="0"/>
    <n v="0.95"/>
    <n v="4E+20"/>
    <n v="1"/>
    <n v="1"/>
    <n v="2E+20"/>
  </r>
  <r>
    <x v="0"/>
    <s v="2023-12-18 11:46:35"/>
    <n v="1"/>
    <x v="10"/>
    <x v="2"/>
    <x v="2"/>
    <n v="0.34817881486354901"/>
    <n v="2E+20"/>
    <n v="0"/>
    <n v="1"/>
    <n v="0"/>
    <n v="0"/>
    <s v="Unnamed ProjectResource 5Instantaneous UtilizationResource"/>
    <n v="1"/>
    <n v="0.34817881486354901"/>
    <n v="0"/>
    <n v="0.95"/>
    <n v="4E+20"/>
    <n v="0.34817881486354901"/>
    <n v="0.34817881486354901"/>
    <n v="2E+20"/>
  </r>
  <r>
    <x v="0"/>
    <s v="2023-12-18 11:46:35"/>
    <n v="1"/>
    <x v="10"/>
    <x v="3"/>
    <x v="2"/>
    <n v="0.34817881486354901"/>
    <n v="2E+20"/>
    <n v="0"/>
    <n v="1"/>
    <n v="0"/>
    <n v="0"/>
    <s v="Unnamed ProjectResource 5Number BusyResource"/>
    <n v="1"/>
    <n v="0.34817881486354901"/>
    <n v="0"/>
    <n v="0.95"/>
    <n v="4E+20"/>
    <n v="0.34817881486354901"/>
    <n v="0.34817881486354901"/>
    <n v="2E+20"/>
  </r>
  <r>
    <x v="0"/>
    <s v="2023-12-18 11:46:35"/>
    <n v="1"/>
    <x v="10"/>
    <x v="4"/>
    <x v="2"/>
    <n v="1"/>
    <n v="2E+20"/>
    <n v="1"/>
    <n v="1"/>
    <n v="1"/>
    <n v="0"/>
    <s v="Unnamed ProjectResource 5Number ScheduledResource"/>
    <n v="1"/>
    <n v="1"/>
    <n v="0"/>
    <n v="0.95"/>
    <n v="4E+20"/>
    <n v="1"/>
    <n v="1"/>
    <n v="2E+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3-12-18 11:46:35"/>
    <n v="1"/>
    <x v="0"/>
    <x v="0"/>
    <x v="0"/>
    <n v="0"/>
    <n v="2E+20"/>
    <n v="0"/>
    <n v="0"/>
    <n v="140"/>
    <s v="Unnamed ProjectEntity 1NVA TimeEntity"/>
    <n v="1"/>
    <n v="0"/>
    <n v="0"/>
    <n v="0.95"/>
    <n v="4E+20"/>
    <n v="0"/>
    <n v="0"/>
    <n v="0"/>
    <n v="0"/>
    <n v="140"/>
    <n v="2E+20"/>
    <n v="1"/>
    <n v="1"/>
  </r>
  <r>
    <x v="0"/>
    <s v="2023-12-18 11:46:35"/>
    <n v="1"/>
    <x v="0"/>
    <x v="1"/>
    <x v="0"/>
    <n v="0"/>
    <n v="2E+20"/>
    <n v="0"/>
    <n v="0"/>
    <n v="140"/>
    <s v="Unnamed ProjectEntity 1Other TimeEntity"/>
    <n v="1"/>
    <n v="0"/>
    <n v="0"/>
    <n v="0.95"/>
    <n v="4E+20"/>
    <n v="0"/>
    <n v="0"/>
    <n v="0"/>
    <n v="0"/>
    <n v="140"/>
    <n v="2E+20"/>
    <n v="1"/>
    <n v="1"/>
  </r>
  <r>
    <x v="0"/>
    <s v="2023-12-18 11:46:35"/>
    <n v="1"/>
    <x v="0"/>
    <x v="2"/>
    <x v="0"/>
    <n v="0.241660622988845"/>
    <n v="2E+20"/>
    <n v="2.0181395237181998E-3"/>
    <n v="0.90179705286215495"/>
    <n v="140"/>
    <s v="Unnamed ProjectEntity 1Total TimeEntity"/>
    <n v="1"/>
    <n v="0.241660622988845"/>
    <n v="0"/>
    <n v="0.95"/>
    <n v="4E+20"/>
    <n v="0.241660622988845"/>
    <n v="0.241660622988845"/>
    <n v="2.0181395237181998E-3"/>
    <n v="0.90179705286215495"/>
    <n v="140"/>
    <n v="2E+20"/>
    <n v="1"/>
    <n v="1"/>
  </r>
  <r>
    <x v="0"/>
    <s v="2023-12-18 11:46:35"/>
    <n v="1"/>
    <x v="0"/>
    <x v="3"/>
    <x v="0"/>
    <n v="0.22226190476190699"/>
    <n v="2E+20"/>
    <n v="0"/>
    <n v="0.90000000000000702"/>
    <n v="140"/>
    <s v="Unnamed ProjectEntity 1Transfer TimeEntity"/>
    <n v="1"/>
    <n v="0.22226190476190699"/>
    <n v="0"/>
    <n v="0.95"/>
    <n v="4E+20"/>
    <n v="0.22226190476190699"/>
    <n v="0.22226190476190699"/>
    <n v="0"/>
    <n v="0.90000000000000702"/>
    <n v="140"/>
    <n v="2E+20"/>
    <n v="1"/>
    <n v="1"/>
  </r>
  <r>
    <x v="0"/>
    <s v="2023-12-18 11:46:35"/>
    <n v="1"/>
    <x v="0"/>
    <x v="4"/>
    <x v="0"/>
    <n v="1.9398718226938502E-2"/>
    <n v="2E+20"/>
    <n v="5.1683541068880997E-5"/>
    <n v="0.11024420373699199"/>
    <n v="140"/>
    <s v="Unnamed ProjectEntity 1VA TimeEntity"/>
    <n v="1"/>
    <n v="1.9398718226938502E-2"/>
    <n v="0"/>
    <n v="0.95"/>
    <n v="4E+20"/>
    <n v="1.9398718226938502E-2"/>
    <n v="1.9398718226938502E-2"/>
    <n v="5.1683541068880997E-5"/>
    <n v="0.11024420373699199"/>
    <n v="140"/>
    <n v="2E+20"/>
    <n v="1"/>
    <n v="1"/>
  </r>
  <r>
    <x v="0"/>
    <s v="2023-12-18 11:46:35"/>
    <n v="1"/>
    <x v="0"/>
    <x v="5"/>
    <x v="0"/>
    <n v="0"/>
    <n v="2E+20"/>
    <n v="0"/>
    <n v="0"/>
    <n v="140"/>
    <s v="Unnamed ProjectEntity 1Wait TimeEntity"/>
    <n v="1"/>
    <n v="0"/>
    <n v="0"/>
    <n v="0.95"/>
    <n v="4E+20"/>
    <n v="0"/>
    <n v="0"/>
    <n v="0"/>
    <n v="0"/>
    <n v="140"/>
    <n v="2E+20"/>
    <n v="1"/>
    <n v="1"/>
  </r>
  <r>
    <x v="0"/>
    <s v="2023-12-18 11:46:35"/>
    <n v="1"/>
    <x v="1"/>
    <x v="6"/>
    <x v="1"/>
    <n v="0"/>
    <n v="2E+20"/>
    <n v="0"/>
    <n v="0"/>
    <n v="34"/>
    <s v="Unnamed ProjectM1.QueueWaiting TimeQueue"/>
    <n v="1"/>
    <n v="0"/>
    <n v="0"/>
    <n v="0.95"/>
    <n v="4E+20"/>
    <n v="0"/>
    <n v="0"/>
    <n v="0"/>
    <n v="0"/>
    <n v="34"/>
    <n v="2E+20"/>
    <n v="1"/>
    <n v="1"/>
  </r>
  <r>
    <x v="0"/>
    <s v="2023-12-18 11:46:35"/>
    <n v="1"/>
    <x v="2"/>
    <x v="6"/>
    <x v="1"/>
    <n v="0"/>
    <n v="2E+20"/>
    <n v="0"/>
    <n v="0"/>
    <n v="30"/>
    <s v="Unnamed ProjectM2.QueueWaiting TimeQueue"/>
    <n v="1"/>
    <n v="0"/>
    <n v="0"/>
    <n v="0.95"/>
    <n v="4E+20"/>
    <n v="0"/>
    <n v="0"/>
    <n v="0"/>
    <n v="0"/>
    <n v="30"/>
    <n v="2E+20"/>
    <n v="1"/>
    <n v="1"/>
  </r>
  <r>
    <x v="0"/>
    <s v="2023-12-18 11:46:35"/>
    <n v="1"/>
    <x v="3"/>
    <x v="6"/>
    <x v="1"/>
    <n v="0"/>
    <n v="2E+20"/>
    <n v="0"/>
    <n v="0"/>
    <n v="25"/>
    <s v="Unnamed ProjectM3.QueueWaiting TimeQueue"/>
    <n v="1"/>
    <n v="0"/>
    <n v="0"/>
    <n v="0.95"/>
    <n v="4E+20"/>
    <n v="0"/>
    <n v="0"/>
    <n v="0"/>
    <n v="0"/>
    <n v="25"/>
    <n v="2E+20"/>
    <n v="1"/>
    <n v="1"/>
  </r>
  <r>
    <x v="0"/>
    <s v="2023-12-18 11:46:35"/>
    <n v="1"/>
    <x v="4"/>
    <x v="6"/>
    <x v="1"/>
    <n v="0"/>
    <n v="2E+20"/>
    <n v="0"/>
    <n v="0"/>
    <n v="28"/>
    <s v="Unnamed ProjectM4.QueueWaiting TimeQueue"/>
    <n v="1"/>
    <n v="0"/>
    <n v="0"/>
    <n v="0.95"/>
    <n v="4E+20"/>
    <n v="0"/>
    <n v="0"/>
    <n v="0"/>
    <n v="0"/>
    <n v="28"/>
    <n v="2E+20"/>
    <n v="1"/>
    <n v="1"/>
  </r>
  <r>
    <x v="0"/>
    <s v="2023-12-18 11:46:35"/>
    <n v="1"/>
    <x v="5"/>
    <x v="6"/>
    <x v="1"/>
    <n v="0"/>
    <n v="2E+20"/>
    <n v="0"/>
    <n v="0"/>
    <n v="23"/>
    <s v="Unnamed ProjectM5.QueueWaiting TimeQueue"/>
    <n v="1"/>
    <n v="0"/>
    <n v="0"/>
    <n v="0.95"/>
    <n v="4E+20"/>
    <n v="0"/>
    <n v="0"/>
    <n v="0"/>
    <n v="0"/>
    <n v="23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3-12-18 11:46:35"/>
    <n v="1"/>
    <x v="0"/>
    <x v="0"/>
    <x v="0"/>
    <n v="140"/>
    <n v="0"/>
    <s v="Unnamed ProjectEntity 1.NumberInNumber InEntity"/>
    <n v="1"/>
    <n v="140"/>
    <n v="0"/>
    <n v="0.95"/>
    <n v="4E+20"/>
    <n v="140"/>
    <n v="140"/>
  </r>
  <r>
    <x v="0"/>
    <s v="2023-12-18 11:46:35"/>
    <n v="1"/>
    <x v="1"/>
    <x v="1"/>
    <x v="0"/>
    <n v="140"/>
    <n v="0"/>
    <s v="Unnamed ProjectEntity 1.NumberOutNumber OutEntity"/>
    <n v="1"/>
    <n v="140"/>
    <n v="0"/>
    <n v="0.95"/>
    <n v="4E+20"/>
    <n v="140"/>
    <n v="140"/>
  </r>
  <r>
    <x v="0"/>
    <s v="2023-12-18 11:46:35"/>
    <n v="1"/>
    <x v="2"/>
    <x v="2"/>
    <x v="1"/>
    <n v="34"/>
    <n v="0"/>
    <s v="Unnamed ProjectResource 1.NumberSeizedTotal Number SeizedResource"/>
    <n v="1"/>
    <n v="34"/>
    <n v="0"/>
    <n v="0.95"/>
    <n v="4E+20"/>
    <n v="34"/>
    <n v="34"/>
  </r>
  <r>
    <x v="0"/>
    <s v="2023-12-18 11:46:35"/>
    <n v="1"/>
    <x v="3"/>
    <x v="3"/>
    <x v="1"/>
    <n v="0.58354932235420398"/>
    <n v="0"/>
    <s v="Unnamed ProjectResource 1.ScheduledUtilizationScheduled UtilizationResource"/>
    <n v="1"/>
    <n v="0.58354932235420398"/>
    <n v="0"/>
    <n v="0.95"/>
    <n v="4E+20"/>
    <n v="0.58354932235420398"/>
    <n v="0.58354932235420398"/>
  </r>
  <r>
    <x v="0"/>
    <s v="2023-12-18 11:46:35"/>
    <n v="1"/>
    <x v="4"/>
    <x v="2"/>
    <x v="1"/>
    <n v="30"/>
    <n v="0"/>
    <s v="Unnamed ProjectResource 2.NumberSeizedTotal Number SeizedResource"/>
    <n v="1"/>
    <n v="30"/>
    <n v="0"/>
    <n v="0.95"/>
    <n v="4E+20"/>
    <n v="30"/>
    <n v="30"/>
  </r>
  <r>
    <x v="0"/>
    <s v="2023-12-18 11:46:35"/>
    <n v="1"/>
    <x v="5"/>
    <x v="3"/>
    <x v="1"/>
    <n v="0.50782121745664099"/>
    <n v="0"/>
    <s v="Unnamed ProjectResource 2.ScheduledUtilizationScheduled UtilizationResource"/>
    <n v="1"/>
    <n v="0.50782121745664099"/>
    <n v="0"/>
    <n v="0.95"/>
    <n v="4E+20"/>
    <n v="0.50782121745664099"/>
    <n v="0.50782121745664099"/>
  </r>
  <r>
    <x v="0"/>
    <s v="2023-12-18 11:46:35"/>
    <n v="1"/>
    <x v="6"/>
    <x v="2"/>
    <x v="1"/>
    <n v="25"/>
    <n v="0"/>
    <s v="Unnamed ProjectResource 3.NumberSeizedTotal Number SeizedResource"/>
    <n v="1"/>
    <n v="25"/>
    <n v="0"/>
    <n v="0.95"/>
    <n v="4E+20"/>
    <n v="25"/>
    <n v="25"/>
  </r>
  <r>
    <x v="0"/>
    <s v="2023-12-18 11:46:35"/>
    <n v="1"/>
    <x v="7"/>
    <x v="3"/>
    <x v="1"/>
    <n v="0.53766287402363"/>
    <n v="0"/>
    <s v="Unnamed ProjectResource 3.ScheduledUtilizationScheduled UtilizationResource"/>
    <n v="1"/>
    <n v="0.53766287402363"/>
    <n v="0"/>
    <n v="0.95"/>
    <n v="4E+20"/>
    <n v="0.53766287402363"/>
    <n v="0.53766287402363"/>
  </r>
  <r>
    <x v="0"/>
    <s v="2023-12-18 11:46:35"/>
    <n v="1"/>
    <x v="8"/>
    <x v="2"/>
    <x v="1"/>
    <n v="28"/>
    <n v="0"/>
    <s v="Unnamed ProjectResource 4.NumberSeizedTotal Number SeizedResource"/>
    <n v="1"/>
    <n v="28"/>
    <n v="0"/>
    <n v="0.95"/>
    <n v="4E+20"/>
    <n v="28"/>
    <n v="28"/>
  </r>
  <r>
    <x v="0"/>
    <s v="2023-12-18 11:46:35"/>
    <n v="1"/>
    <x v="9"/>
    <x v="3"/>
    <x v="1"/>
    <n v="0.48752045692816198"/>
    <n v="0"/>
    <s v="Unnamed ProjectResource 4.ScheduledUtilizationScheduled UtilizationResource"/>
    <n v="1"/>
    <n v="0.48752045692816198"/>
    <n v="0"/>
    <n v="0.95"/>
    <n v="4E+20"/>
    <n v="0.48752045692816198"/>
    <n v="0.48752045692816198"/>
  </r>
  <r>
    <x v="0"/>
    <s v="2023-12-18 11:46:35"/>
    <n v="1"/>
    <x v="10"/>
    <x v="2"/>
    <x v="1"/>
    <n v="23"/>
    <n v="0"/>
    <s v="Unnamed ProjectResource 5.NumberSeizedTotal Number SeizedResource"/>
    <n v="1"/>
    <n v="23"/>
    <n v="0"/>
    <n v="0.95"/>
    <n v="4E+20"/>
    <n v="23"/>
    <n v="23"/>
  </r>
  <r>
    <x v="0"/>
    <s v="2023-12-18 11:46:35"/>
    <n v="1"/>
    <x v="11"/>
    <x v="3"/>
    <x v="1"/>
    <n v="0.34817881486354901"/>
    <n v="0"/>
    <s v="Unnamed ProjectResource 5.ScheduledUtilizationScheduled UtilizationResource"/>
    <n v="1"/>
    <n v="0.34817881486354901"/>
    <n v="0"/>
    <n v="0.95"/>
    <n v="4E+20"/>
    <n v="0.34817881486354901"/>
    <n v="0.34817881486354901"/>
  </r>
  <r>
    <x v="0"/>
    <s v="2023-12-18 11:46:35"/>
    <n v="1"/>
    <x v="12"/>
    <x v="1"/>
    <x v="2"/>
    <n v="140"/>
    <n v="0"/>
    <s v="Unnamed ProjectSystem.NumberOutNumber OutSystem"/>
    <n v="1"/>
    <n v="140"/>
    <n v="0"/>
    <n v="0.95"/>
    <n v="4E+20"/>
    <n v="140"/>
    <n v="1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6"/>
        <item m="1" x="17"/>
        <item m="1" x="33"/>
        <item m="1" x="42"/>
        <item m="1" x="55"/>
        <item m="1" x="54"/>
        <item m="1" x="18"/>
        <item m="1" x="119"/>
        <item m="1" x="97"/>
        <item m="1" x="60"/>
        <item m="1" x="47"/>
        <item m="1" x="51"/>
        <item x="0"/>
        <item m="1" x="36"/>
        <item m="1" x="118"/>
        <item m="1" x="40"/>
        <item m="1" x="91"/>
        <item m="1" x="105"/>
        <item m="1" x="15"/>
        <item m="1" x="41"/>
        <item m="1" x="128"/>
        <item m="1" x="30"/>
        <item m="1" x="120"/>
        <item m="1" x="19"/>
        <item m="1" x="46"/>
        <item m="1" x="72"/>
        <item m="1" x="16"/>
        <item m="1" x="22"/>
        <item m="1" x="92"/>
        <item m="1" x="73"/>
        <item m="1" x="107"/>
        <item m="1" x="63"/>
        <item m="1" x="27"/>
        <item m="1" x="57"/>
        <item m="1" x="93"/>
        <item m="1" x="78"/>
        <item m="1" x="28"/>
        <item m="1" x="38"/>
        <item m="1" x="100"/>
        <item m="1" x="14"/>
        <item m="1" x="127"/>
        <item m="1" x="85"/>
        <item m="1" x="25"/>
        <item m="1" x="110"/>
        <item m="1" x="56"/>
        <item m="1" x="129"/>
        <item m="1" x="90"/>
        <item m="1" x="32"/>
        <item m="1" x="77"/>
        <item m="1" x="96"/>
        <item m="1" x="109"/>
        <item m="1" x="117"/>
        <item m="1" x="126"/>
        <item m="1" x="13"/>
        <item m="1" x="31"/>
        <item m="1" x="45"/>
        <item m="1" x="34"/>
        <item m="1" x="12"/>
        <item m="1" x="106"/>
        <item m="1" x="123"/>
        <item m="1" x="49"/>
        <item m="1" x="84"/>
        <item m="1" x="37"/>
        <item m="1" x="58"/>
        <item m="1" x="43"/>
        <item m="1" x="67"/>
        <item m="1" x="52"/>
        <item m="1" x="74"/>
        <item m="1" x="59"/>
        <item m="1" x="86"/>
        <item m="1" x="68"/>
        <item m="1" x="94"/>
        <item m="1" x="75"/>
        <item m="1" x="103"/>
        <item m="1" x="87"/>
        <item m="1" x="108"/>
        <item m="1" x="95"/>
        <item m="1" x="112"/>
        <item m="1" x="124"/>
        <item m="1" x="114"/>
        <item m="1" x="98"/>
        <item m="1" x="71"/>
        <item m="1" x="50"/>
        <item m="1" x="65"/>
        <item m="1" x="29"/>
        <item m="1" x="35"/>
        <item m="1" x="44"/>
        <item m="1" x="48"/>
        <item m="1" x="80"/>
        <item m="1" x="125"/>
        <item m="1" x="115"/>
        <item m="1" x="99"/>
        <item m="1" x="66"/>
        <item x="6"/>
        <item m="1" x="82"/>
        <item m="1" x="70"/>
        <item m="1" x="102"/>
        <item m="1" x="83"/>
        <item m="1" x="62"/>
        <item m="1" x="69"/>
        <item m="1" x="23"/>
        <item m="1" x="88"/>
        <item m="1" x="104"/>
        <item m="1" x="113"/>
        <item m="1" x="121"/>
        <item m="1" x="132"/>
        <item m="1" x="20"/>
        <item m="1" x="39"/>
        <item m="1" x="131"/>
        <item m="1" x="21"/>
        <item m="1" x="89"/>
        <item m="1" x="64"/>
        <item m="1" x="79"/>
        <item m="1" x="24"/>
        <item m="1" x="130"/>
        <item m="1" x="111"/>
        <item m="1" x="61"/>
        <item m="1" x="122"/>
        <item m="1" x="81"/>
        <item m="1" x="101"/>
        <item m="1" x="116"/>
        <item m="1" x="53"/>
        <item m="1" x="76"/>
        <item m="1" x="11"/>
        <item x="1"/>
        <item x="2"/>
        <item x="3"/>
        <item x="4"/>
        <item x="5"/>
        <item x="7"/>
        <item x="8"/>
        <item x="9"/>
        <item x="10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"/>
      <x v="4"/>
      <x/>
    </i>
    <i r="1">
      <x v="93"/>
      <x/>
      <x v="2"/>
    </i>
    <i r="2">
      <x v="1"/>
      <x v="2"/>
    </i>
    <i r="2">
      <x v="2"/>
      <x v="2"/>
    </i>
    <i r="1"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/>
      <x v="2"/>
    </i>
    <i r="2">
      <x v="1"/>
      <x v="2"/>
    </i>
    <i r="2">
      <x v="2"/>
      <x v="2"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6"/>
        <item m="1" x="39"/>
        <item m="1" x="11"/>
        <item m="1" x="91"/>
        <item m="1" x="74"/>
        <item m="1" x="44"/>
        <item m="1" x="100"/>
        <item m="1" x="32"/>
        <item m="1" x="36"/>
        <item x="0"/>
        <item m="1" x="69"/>
        <item m="1" x="81"/>
        <item m="1" x="86"/>
        <item m="1" x="10"/>
        <item m="1" x="38"/>
        <item m="1" x="28"/>
        <item m="1" x="103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1"/>
        <item x="2"/>
        <item x="3"/>
        <item x="4"/>
        <item x="5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1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7"/>
        <item m="1" x="14"/>
        <item m="1" x="38"/>
        <item m="1" x="15"/>
        <item m="1" x="39"/>
        <item m="1" x="16"/>
        <item m="1" x="40"/>
        <item m="1" x="17"/>
        <item m="1" x="71"/>
        <item m="1" x="28"/>
        <item x="12"/>
        <item m="1" x="70"/>
        <item m="1" x="57"/>
        <item m="1" x="74"/>
        <item m="1" x="59"/>
        <item x="0"/>
        <item x="1"/>
        <item m="1" x="52"/>
        <item m="1" x="21"/>
        <item m="1" x="68"/>
        <item m="1" x="58"/>
        <item m="1" x="56"/>
        <item m="1" x="24"/>
        <item m="1" x="66"/>
        <item m="1" x="32"/>
        <item m="1" x="67"/>
        <item m="1" x="33"/>
        <item m="1" x="65"/>
        <item m="1" x="83"/>
        <item m="1" x="27"/>
        <item m="1" x="86"/>
        <item m="1" x="54"/>
        <item m="1" x="22"/>
        <item m="1" x="81"/>
        <item m="1" x="77"/>
        <item m="1" x="55"/>
        <item m="1" x="23"/>
        <item m="1" x="82"/>
        <item m="1" x="78"/>
        <item m="1" x="18"/>
        <item m="1" x="51"/>
        <item m="1" x="35"/>
        <item m="1" x="26"/>
        <item m="1" x="75"/>
        <item m="1" x="47"/>
        <item m="1" x="76"/>
        <item m="1" x="48"/>
        <item m="1" x="34"/>
        <item m="1" x="30"/>
        <item x="2"/>
        <item x="3"/>
        <item m="1" x="85"/>
        <item m="1" x="79"/>
        <item m="1" x="31"/>
        <item m="1" x="29"/>
        <item m="1" x="72"/>
        <item m="1" x="80"/>
        <item m="1" x="19"/>
        <item m="1" x="36"/>
        <item m="1" x="49"/>
        <item m="1" x="69"/>
        <item m="1" x="84"/>
        <item m="1" x="20"/>
        <item m="1" x="46"/>
        <item m="1" x="50"/>
        <item m="1" x="73"/>
        <item m="1" x="53"/>
        <item m="1" x="25"/>
        <item m="1" x="41"/>
        <item m="1" x="60"/>
        <item m="1" x="42"/>
        <item m="1" x="61"/>
        <item m="1" x="43"/>
        <item m="1" x="62"/>
        <item m="1" x="44"/>
        <item m="1" x="63"/>
        <item m="1" x="45"/>
        <item m="1" x="64"/>
        <item m="1" x="13"/>
        <item x="4"/>
        <item x="5"/>
        <item x="6"/>
        <item x="7"/>
        <item x="8"/>
        <item x="9"/>
        <item x="10"/>
        <item x="1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15"/>
      <x/>
      <x/>
    </i>
    <i r="1">
      <x v="16"/>
      <x v="1"/>
      <x/>
    </i>
    <i r="1">
      <x v="49"/>
      <x v="3"/>
      <x v="1"/>
    </i>
    <i r="1">
      <x v="50"/>
      <x v="2"/>
      <x v="1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" tableType="queryTable" totalsRowShown="0">
  <autoFilter ref="A1:Y12" xr:uid="{C3D003CA-1AFF-426C-A03D-D3AF5760DF1A}"/>
  <sortState xmlns:xlrd2="http://schemas.microsoft.com/office/spreadsheetml/2017/richdata2" ref="A2:Y12">
    <sortCondition ref="D1:D12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4" tableType="queryTable" totalsRowShown="0">
  <autoFilter ref="A1:P1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60.710937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3</v>
      </c>
      <c r="E2">
        <v>1</v>
      </c>
      <c r="F2">
        <v>1.1018722507351399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1.14062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140</v>
      </c>
      <c r="O3" t="s">
        <v>67</v>
      </c>
      <c r="P3" t="s">
        <v>71</v>
      </c>
      <c r="Q3" t="s">
        <v>86</v>
      </c>
      <c r="R3" t="s">
        <v>73</v>
      </c>
      <c r="S3" s="5">
        <v>30.704546008728599</v>
      </c>
      <c r="T3" s="5">
        <v>2E+20</v>
      </c>
      <c r="U3" s="5">
        <v>0</v>
      </c>
      <c r="V3" s="5">
        <v>30.704546008728599</v>
      </c>
      <c r="W3" s="5">
        <v>30.704546008728599</v>
      </c>
      <c r="X3" s="5">
        <v>0</v>
      </c>
      <c r="Y3" s="5">
        <v>71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113</v>
      </c>
      <c r="AM3" t="s">
        <v>100</v>
      </c>
      <c r="AN3" t="s">
        <v>114</v>
      </c>
      <c r="AO3" s="5">
        <v>140</v>
      </c>
      <c r="AP3" s="5">
        <v>4E+20</v>
      </c>
      <c r="AQ3" s="5">
        <v>0</v>
      </c>
      <c r="AR3" s="5">
        <v>140</v>
      </c>
      <c r="AS3" s="5">
        <v>140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140</v>
      </c>
      <c r="P4" t="s">
        <v>88</v>
      </c>
      <c r="Q4" t="s">
        <v>89</v>
      </c>
      <c r="R4" t="s">
        <v>90</v>
      </c>
      <c r="S4" s="5">
        <v>0.58354932235420398</v>
      </c>
      <c r="T4" s="5">
        <v>2E+20</v>
      </c>
      <c r="U4" s="5">
        <v>0</v>
      </c>
      <c r="V4" s="5">
        <v>0.58354932235420398</v>
      </c>
      <c r="W4" s="5">
        <v>0.58354932235420398</v>
      </c>
      <c r="X4" s="5">
        <v>0</v>
      </c>
      <c r="Y4" s="5">
        <v>1</v>
      </c>
      <c r="AL4" t="s">
        <v>97</v>
      </c>
      <c r="AM4" t="s">
        <v>98</v>
      </c>
      <c r="AN4" t="s">
        <v>73</v>
      </c>
      <c r="AO4" s="5">
        <v>140</v>
      </c>
      <c r="AP4" s="5">
        <v>4E+20</v>
      </c>
      <c r="AQ4" s="5">
        <v>0</v>
      </c>
      <c r="AR4" s="5">
        <v>140</v>
      </c>
      <c r="AS4" s="5">
        <v>140</v>
      </c>
    </row>
    <row r="5" spans="1:52" x14ac:dyDescent="0.25">
      <c r="C5" t="s">
        <v>75</v>
      </c>
      <c r="D5" t="s">
        <v>73</v>
      </c>
      <c r="E5" s="5">
        <v>0.241660622988845</v>
      </c>
      <c r="F5" s="5">
        <v>1</v>
      </c>
      <c r="G5" s="5">
        <v>2E+20</v>
      </c>
      <c r="H5" s="5">
        <v>0</v>
      </c>
      <c r="I5" s="5">
        <v>0.241660622988845</v>
      </c>
      <c r="J5" s="5">
        <v>0.241660622988845</v>
      </c>
      <c r="K5" s="5">
        <v>2.0181395237181998E-3</v>
      </c>
      <c r="L5" s="5">
        <v>0.90179705286215495</v>
      </c>
      <c r="M5" s="5">
        <v>140</v>
      </c>
      <c r="Q5" t="s">
        <v>91</v>
      </c>
      <c r="R5" t="s">
        <v>90</v>
      </c>
      <c r="S5" s="5">
        <v>0.58354932235420398</v>
      </c>
      <c r="T5" s="5">
        <v>2E+20</v>
      </c>
      <c r="U5" s="5">
        <v>0</v>
      </c>
      <c r="V5" s="5">
        <v>0.58354932235420398</v>
      </c>
      <c r="W5" s="5">
        <v>0.58354932235420398</v>
      </c>
      <c r="X5" s="5">
        <v>0</v>
      </c>
      <c r="Y5" s="5">
        <v>1</v>
      </c>
      <c r="AL5" t="s">
        <v>99</v>
      </c>
      <c r="AM5" t="s">
        <v>100</v>
      </c>
      <c r="AN5" t="s">
        <v>73</v>
      </c>
      <c r="AO5" s="5">
        <v>140</v>
      </c>
      <c r="AP5" s="5">
        <v>4E+20</v>
      </c>
      <c r="AQ5" s="5">
        <v>0</v>
      </c>
      <c r="AR5" s="5">
        <v>140</v>
      </c>
      <c r="AS5" s="5">
        <v>140</v>
      </c>
    </row>
    <row r="6" spans="1:52" x14ac:dyDescent="0.25">
      <c r="C6" t="s">
        <v>76</v>
      </c>
      <c r="D6" t="s">
        <v>73</v>
      </c>
      <c r="E6" s="5">
        <v>0.22226190476190699</v>
      </c>
      <c r="F6" s="5">
        <v>1</v>
      </c>
      <c r="G6" s="5">
        <v>2E+20</v>
      </c>
      <c r="H6" s="5">
        <v>0</v>
      </c>
      <c r="I6" s="5">
        <v>0.22226190476190699</v>
      </c>
      <c r="J6" s="5">
        <v>0.22226190476190699</v>
      </c>
      <c r="K6" s="5">
        <v>0</v>
      </c>
      <c r="L6" s="5">
        <v>0.90000000000000702</v>
      </c>
      <c r="M6" s="5">
        <v>140</v>
      </c>
      <c r="Q6" t="s">
        <v>92</v>
      </c>
      <c r="R6" t="s">
        <v>90</v>
      </c>
      <c r="S6" s="5">
        <v>1</v>
      </c>
      <c r="T6" s="5">
        <v>2E+20</v>
      </c>
      <c r="U6" s="5">
        <v>0</v>
      </c>
      <c r="V6" s="5">
        <v>1</v>
      </c>
      <c r="W6" s="5">
        <v>1</v>
      </c>
      <c r="X6" s="5">
        <v>1</v>
      </c>
      <c r="Y6" s="5">
        <v>1</v>
      </c>
      <c r="AL6" t="s">
        <v>101</v>
      </c>
      <c r="AM6" t="s">
        <v>102</v>
      </c>
      <c r="AN6" t="s">
        <v>90</v>
      </c>
      <c r="AO6" s="5">
        <v>34</v>
      </c>
      <c r="AP6" s="5">
        <v>4E+20</v>
      </c>
      <c r="AQ6" s="5">
        <v>0</v>
      </c>
      <c r="AR6" s="5">
        <v>34</v>
      </c>
      <c r="AS6" s="5">
        <v>34</v>
      </c>
    </row>
    <row r="7" spans="1:52" x14ac:dyDescent="0.25">
      <c r="C7" t="s">
        <v>77</v>
      </c>
      <c r="D7" t="s">
        <v>73</v>
      </c>
      <c r="E7" s="5">
        <v>1.9398718226938502E-2</v>
      </c>
      <c r="F7" s="5">
        <v>1</v>
      </c>
      <c r="G7" s="5">
        <v>2E+20</v>
      </c>
      <c r="H7" s="5">
        <v>0</v>
      </c>
      <c r="I7" s="5">
        <v>1.9398718226938502E-2</v>
      </c>
      <c r="J7" s="5">
        <v>1.9398718226938502E-2</v>
      </c>
      <c r="K7" s="5">
        <v>5.1683541068880997E-5</v>
      </c>
      <c r="L7" s="5">
        <v>0.11024420373699199</v>
      </c>
      <c r="M7" s="5">
        <v>140</v>
      </c>
      <c r="P7" t="s">
        <v>79</v>
      </c>
      <c r="Q7" t="s">
        <v>87</v>
      </c>
      <c r="R7" t="s">
        <v>81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103</v>
      </c>
      <c r="AM7" t="s">
        <v>104</v>
      </c>
      <c r="AN7" t="s">
        <v>90</v>
      </c>
      <c r="AO7" s="5">
        <v>0.58354932235420398</v>
      </c>
      <c r="AP7" s="5">
        <v>4E+20</v>
      </c>
      <c r="AQ7" s="5">
        <v>0</v>
      </c>
      <c r="AR7" s="5">
        <v>0.58354932235420398</v>
      </c>
      <c r="AS7" s="5">
        <v>0.58354932235420398</v>
      </c>
    </row>
    <row r="8" spans="1:52" x14ac:dyDescent="0.25">
      <c r="C8" t="s">
        <v>78</v>
      </c>
      <c r="D8" t="s">
        <v>73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140</v>
      </c>
      <c r="P8" t="s">
        <v>82</v>
      </c>
      <c r="Q8" t="s">
        <v>87</v>
      </c>
      <c r="R8" t="s">
        <v>81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L8" t="s">
        <v>105</v>
      </c>
      <c r="AM8" t="s">
        <v>102</v>
      </c>
      <c r="AN8" t="s">
        <v>90</v>
      </c>
      <c r="AO8" s="5">
        <v>30</v>
      </c>
      <c r="AP8" s="5">
        <v>4E+20</v>
      </c>
      <c r="AQ8" s="5">
        <v>0</v>
      </c>
      <c r="AR8" s="5">
        <v>30</v>
      </c>
      <c r="AS8" s="5">
        <v>30</v>
      </c>
    </row>
    <row r="9" spans="1:52" x14ac:dyDescent="0.25">
      <c r="B9" t="s">
        <v>79</v>
      </c>
      <c r="C9" t="s">
        <v>80</v>
      </c>
      <c r="D9" t="s">
        <v>81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34</v>
      </c>
      <c r="P9" t="s">
        <v>83</v>
      </c>
      <c r="Q9" t="s">
        <v>87</v>
      </c>
      <c r="R9" t="s">
        <v>81</v>
      </c>
      <c r="S9" s="5">
        <v>0</v>
      </c>
      <c r="T9" s="5">
        <v>2E+20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106</v>
      </c>
      <c r="AM9" t="s">
        <v>104</v>
      </c>
      <c r="AN9" t="s">
        <v>90</v>
      </c>
      <c r="AO9" s="5">
        <v>0.50782121745664099</v>
      </c>
      <c r="AP9" s="5">
        <v>4E+20</v>
      </c>
      <c r="AQ9" s="5">
        <v>0</v>
      </c>
      <c r="AR9" s="5">
        <v>0.50782121745664099</v>
      </c>
      <c r="AS9" s="5">
        <v>0.50782121745664099</v>
      </c>
    </row>
    <row r="10" spans="1:52" x14ac:dyDescent="0.25">
      <c r="B10" t="s">
        <v>82</v>
      </c>
      <c r="C10" t="s">
        <v>80</v>
      </c>
      <c r="D10" t="s">
        <v>81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30</v>
      </c>
      <c r="P10" t="s">
        <v>84</v>
      </c>
      <c r="Q10" t="s">
        <v>87</v>
      </c>
      <c r="R10" t="s">
        <v>81</v>
      </c>
      <c r="S10" s="5">
        <v>0</v>
      </c>
      <c r="T10" s="5">
        <v>2E+20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L10" t="s">
        <v>107</v>
      </c>
      <c r="AM10" t="s">
        <v>102</v>
      </c>
      <c r="AN10" t="s">
        <v>90</v>
      </c>
      <c r="AO10" s="5">
        <v>25</v>
      </c>
      <c r="AP10" s="5">
        <v>4E+20</v>
      </c>
      <c r="AQ10" s="5">
        <v>0</v>
      </c>
      <c r="AR10" s="5">
        <v>25</v>
      </c>
      <c r="AS10" s="5">
        <v>25</v>
      </c>
    </row>
    <row r="11" spans="1:52" x14ac:dyDescent="0.25">
      <c r="B11" t="s">
        <v>83</v>
      </c>
      <c r="C11" t="s">
        <v>80</v>
      </c>
      <c r="D11" t="s">
        <v>81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25</v>
      </c>
      <c r="P11" t="s">
        <v>85</v>
      </c>
      <c r="Q11" t="s">
        <v>87</v>
      </c>
      <c r="R11" t="s">
        <v>81</v>
      </c>
      <c r="S11" s="5">
        <v>0</v>
      </c>
      <c r="T11" s="5">
        <v>2E+20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108</v>
      </c>
      <c r="AM11" t="s">
        <v>104</v>
      </c>
      <c r="AN11" t="s">
        <v>90</v>
      </c>
      <c r="AO11" s="5">
        <v>0.53766287402363</v>
      </c>
      <c r="AP11" s="5">
        <v>4E+20</v>
      </c>
      <c r="AQ11" s="5">
        <v>0</v>
      </c>
      <c r="AR11" s="5">
        <v>0.53766287402363</v>
      </c>
      <c r="AS11" s="5">
        <v>0.53766287402363</v>
      </c>
    </row>
    <row r="12" spans="1:52" x14ac:dyDescent="0.25">
      <c r="B12" t="s">
        <v>84</v>
      </c>
      <c r="C12" t="s">
        <v>80</v>
      </c>
      <c r="D12" t="s">
        <v>81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28</v>
      </c>
      <c r="P12" t="s">
        <v>93</v>
      </c>
      <c r="Q12" t="s">
        <v>89</v>
      </c>
      <c r="R12" t="s">
        <v>90</v>
      </c>
      <c r="S12" s="5">
        <v>0.50782121745664099</v>
      </c>
      <c r="T12" s="5">
        <v>2E+20</v>
      </c>
      <c r="U12" s="5">
        <v>0</v>
      </c>
      <c r="V12" s="5">
        <v>0.50782121745664099</v>
      </c>
      <c r="W12" s="5">
        <v>0.50782121745664099</v>
      </c>
      <c r="X12" s="5">
        <v>0</v>
      </c>
      <c r="Y12" s="5">
        <v>1</v>
      </c>
      <c r="AL12" t="s">
        <v>109</v>
      </c>
      <c r="AM12" t="s">
        <v>102</v>
      </c>
      <c r="AN12" t="s">
        <v>90</v>
      </c>
      <c r="AO12" s="5">
        <v>28</v>
      </c>
      <c r="AP12" s="5">
        <v>4E+20</v>
      </c>
      <c r="AQ12" s="5">
        <v>0</v>
      </c>
      <c r="AR12" s="5">
        <v>28</v>
      </c>
      <c r="AS12" s="5">
        <v>28</v>
      </c>
    </row>
    <row r="13" spans="1:52" x14ac:dyDescent="0.25">
      <c r="B13" t="s">
        <v>85</v>
      </c>
      <c r="C13" t="s">
        <v>80</v>
      </c>
      <c r="D13" t="s">
        <v>81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23</v>
      </c>
      <c r="Q13" t="s">
        <v>91</v>
      </c>
      <c r="R13" t="s">
        <v>90</v>
      </c>
      <c r="S13" s="5">
        <v>0.50782121745664099</v>
      </c>
      <c r="T13" s="5">
        <v>2E+20</v>
      </c>
      <c r="U13" s="5">
        <v>0</v>
      </c>
      <c r="V13" s="5">
        <v>0.50782121745664099</v>
      </c>
      <c r="W13" s="5">
        <v>0.50782121745664099</v>
      </c>
      <c r="X13" s="5">
        <v>0</v>
      </c>
      <c r="Y13" s="5">
        <v>1</v>
      </c>
      <c r="AL13" t="s">
        <v>110</v>
      </c>
      <c r="AM13" t="s">
        <v>104</v>
      </c>
      <c r="AN13" t="s">
        <v>90</v>
      </c>
      <c r="AO13" s="5">
        <v>0.48752045692816198</v>
      </c>
      <c r="AP13" s="5">
        <v>4E+20</v>
      </c>
      <c r="AQ13" s="5">
        <v>0</v>
      </c>
      <c r="AR13" s="5">
        <v>0.48752045692816198</v>
      </c>
      <c r="AS13" s="5">
        <v>0.48752045692816198</v>
      </c>
    </row>
    <row r="14" spans="1:52" x14ac:dyDescent="0.25">
      <c r="Q14" t="s">
        <v>92</v>
      </c>
      <c r="R14" t="s">
        <v>90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  <c r="AL14" t="s">
        <v>111</v>
      </c>
      <c r="AM14" t="s">
        <v>102</v>
      </c>
      <c r="AN14" t="s">
        <v>90</v>
      </c>
      <c r="AO14" s="5">
        <v>23</v>
      </c>
      <c r="AP14" s="5">
        <v>4E+20</v>
      </c>
      <c r="AQ14" s="5">
        <v>0</v>
      </c>
      <c r="AR14" s="5">
        <v>23</v>
      </c>
      <c r="AS14" s="5">
        <v>23</v>
      </c>
    </row>
    <row r="15" spans="1:52" x14ac:dyDescent="0.25">
      <c r="P15" t="s">
        <v>94</v>
      </c>
      <c r="Q15" t="s">
        <v>89</v>
      </c>
      <c r="R15" t="s">
        <v>90</v>
      </c>
      <c r="S15" s="5">
        <v>0.53766287402363</v>
      </c>
      <c r="T15" s="5">
        <v>2E+20</v>
      </c>
      <c r="U15" s="5">
        <v>0</v>
      </c>
      <c r="V15" s="5">
        <v>0.53766287402363</v>
      </c>
      <c r="W15" s="5">
        <v>0.53766287402363</v>
      </c>
      <c r="X15" s="5">
        <v>0</v>
      </c>
      <c r="Y15" s="5">
        <v>1</v>
      </c>
      <c r="AL15" t="s">
        <v>112</v>
      </c>
      <c r="AM15" t="s">
        <v>104</v>
      </c>
      <c r="AN15" t="s">
        <v>90</v>
      </c>
      <c r="AO15" s="5">
        <v>0.34817881486354901</v>
      </c>
      <c r="AP15" s="5">
        <v>4E+20</v>
      </c>
      <c r="AQ15" s="5">
        <v>0</v>
      </c>
      <c r="AR15" s="5">
        <v>0.34817881486354901</v>
      </c>
      <c r="AS15" s="5">
        <v>0.34817881486354901</v>
      </c>
    </row>
    <row r="16" spans="1:52" x14ac:dyDescent="0.25">
      <c r="Q16" t="s">
        <v>91</v>
      </c>
      <c r="R16" t="s">
        <v>90</v>
      </c>
      <c r="S16" s="5">
        <v>0.53766287402363</v>
      </c>
      <c r="T16" s="5">
        <v>2E+20</v>
      </c>
      <c r="U16" s="5">
        <v>0</v>
      </c>
      <c r="V16" s="5">
        <v>0.53766287402363</v>
      </c>
      <c r="W16" s="5">
        <v>0.53766287402363</v>
      </c>
      <c r="X16" s="5">
        <v>0</v>
      </c>
      <c r="Y16" s="5">
        <v>1</v>
      </c>
    </row>
    <row r="17" spans="16:25" x14ac:dyDescent="0.25">
      <c r="Q17" t="s">
        <v>92</v>
      </c>
      <c r="R17" t="s">
        <v>90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16:25" x14ac:dyDescent="0.25">
      <c r="P18" t="s">
        <v>95</v>
      </c>
      <c r="Q18" t="s">
        <v>89</v>
      </c>
      <c r="R18" t="s">
        <v>90</v>
      </c>
      <c r="S18" s="5">
        <v>0.48752045692816198</v>
      </c>
      <c r="T18" s="5">
        <v>2E+20</v>
      </c>
      <c r="U18" s="5">
        <v>0</v>
      </c>
      <c r="V18" s="5">
        <v>0.48752045692816198</v>
      </c>
      <c r="W18" s="5">
        <v>0.48752045692816198</v>
      </c>
      <c r="X18" s="5">
        <v>0</v>
      </c>
      <c r="Y18" s="5">
        <v>1</v>
      </c>
    </row>
    <row r="19" spans="16:25" x14ac:dyDescent="0.25">
      <c r="Q19" t="s">
        <v>91</v>
      </c>
      <c r="R19" t="s">
        <v>90</v>
      </c>
      <c r="S19" s="5">
        <v>0.48752045692816198</v>
      </c>
      <c r="T19" s="5">
        <v>2E+20</v>
      </c>
      <c r="U19" s="5">
        <v>0</v>
      </c>
      <c r="V19" s="5">
        <v>0.48752045692816198</v>
      </c>
      <c r="W19" s="5">
        <v>0.48752045692816198</v>
      </c>
      <c r="X19" s="5">
        <v>0</v>
      </c>
      <c r="Y19" s="5">
        <v>1</v>
      </c>
    </row>
    <row r="20" spans="16:25" x14ac:dyDescent="0.25">
      <c r="Q20" t="s">
        <v>92</v>
      </c>
      <c r="R20" t="s">
        <v>90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16:25" x14ac:dyDescent="0.25">
      <c r="P21" t="s">
        <v>96</v>
      </c>
      <c r="Q21" t="s">
        <v>89</v>
      </c>
      <c r="R21" t="s">
        <v>90</v>
      </c>
      <c r="S21" s="5">
        <v>0.34817881486354901</v>
      </c>
      <c r="T21" s="5">
        <v>2E+20</v>
      </c>
      <c r="U21" s="5">
        <v>0</v>
      </c>
      <c r="V21" s="5">
        <v>0.34817881486354901</v>
      </c>
      <c r="W21" s="5">
        <v>0.34817881486354901</v>
      </c>
      <c r="X21" s="5">
        <v>0</v>
      </c>
      <c r="Y21" s="5">
        <v>1</v>
      </c>
    </row>
    <row r="22" spans="16:25" x14ac:dyDescent="0.25">
      <c r="Q22" t="s">
        <v>91</v>
      </c>
      <c r="R22" t="s">
        <v>90</v>
      </c>
      <c r="S22" s="5">
        <v>0.34817881486354901</v>
      </c>
      <c r="T22" s="5">
        <v>2E+20</v>
      </c>
      <c r="U22" s="5">
        <v>0</v>
      </c>
      <c r="V22" s="5">
        <v>0.34817881486354901</v>
      </c>
      <c r="W22" s="5">
        <v>0.34817881486354901</v>
      </c>
      <c r="X22" s="5">
        <v>0</v>
      </c>
      <c r="Y22" s="5">
        <v>1</v>
      </c>
    </row>
    <row r="23" spans="16:25" x14ac:dyDescent="0.25">
      <c r="Q23" t="s">
        <v>92</v>
      </c>
      <c r="R23" t="s">
        <v>90</v>
      </c>
      <c r="S23" s="5">
        <v>1</v>
      </c>
      <c r="T23" s="5">
        <v>2E+20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</sheetData>
  <dataConsolidate/>
  <conditionalFormatting pivot="1" sqref="G3:G13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13">
    <cfRule type="expression" dxfId="28" priority="11">
      <formula>G3=300000000000000000000</formula>
    </cfRule>
  </conditionalFormatting>
  <conditionalFormatting pivot="1" sqref="F3:F13">
    <cfRule type="expression" dxfId="27" priority="10">
      <formula>F3=0</formula>
    </cfRule>
  </conditionalFormatting>
  <conditionalFormatting pivot="1" sqref="F3:F13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3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2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0.285156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44.42578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140</v>
      </c>
      <c r="L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140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140</v>
      </c>
      <c r="L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140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0.241660622988845</v>
      </c>
      <c r="H4">
        <v>2E+20</v>
      </c>
      <c r="I4">
        <v>2.0181395237181998E-3</v>
      </c>
      <c r="J4">
        <v>0.90179705286215495</v>
      </c>
      <c r="K4">
        <v>140</v>
      </c>
      <c r="L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0.241660622988845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0.241660622988845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0.241660622988845</v>
      </c>
      <c r="T4" cm="1">
        <f t="array" ref="T4">MIN(IF((DiscreteStatsTable[GroupByKey]=DiscreteStatsTable[[#This Row],[GroupByKey]]),(DiscreteStatsTable[GroupByKey]=DiscreteStatsTable[[#This Row],[GroupByKey]])*DiscreteStatsTable[Minimum]))</f>
        <v>2.0181395237181998E-3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0.90179705286215495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140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0.22226190476190699</v>
      </c>
      <c r="H5">
        <v>2E+20</v>
      </c>
      <c r="I5">
        <v>0</v>
      </c>
      <c r="J5">
        <v>0.90000000000000702</v>
      </c>
      <c r="K5">
        <v>140</v>
      </c>
      <c r="L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0.22226190476190699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0.22226190476190699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0.22226190476190699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0.90000000000000702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140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1.9398718226938502E-2</v>
      </c>
      <c r="H6">
        <v>2E+20</v>
      </c>
      <c r="I6">
        <v>5.1683541068880997E-5</v>
      </c>
      <c r="J6">
        <v>0.11024420373699199</v>
      </c>
      <c r="K6">
        <v>140</v>
      </c>
      <c r="L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1.9398718226938502E-2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1.9398718226938502E-2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1.9398718226938502E-2</v>
      </c>
      <c r="T6" cm="1">
        <f t="array" ref="T6">MIN(IF((DiscreteStatsTable[GroupByKey]=DiscreteStatsTable[[#This Row],[GroupByKey]]),(DiscreteStatsTable[GroupByKey]=DiscreteStatsTable[[#This Row],[GroupByKey]])*DiscreteStatsTable[Minimum]))</f>
        <v>5.1683541068880997E-5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0.11024420373699199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140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140</v>
      </c>
      <c r="L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140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79</v>
      </c>
      <c r="E8" t="s">
        <v>80</v>
      </c>
      <c r="F8" t="s">
        <v>81</v>
      </c>
      <c r="G8">
        <v>0</v>
      </c>
      <c r="H8">
        <v>2E+20</v>
      </c>
      <c r="I8">
        <v>0</v>
      </c>
      <c r="J8">
        <v>0</v>
      </c>
      <c r="K8">
        <v>34</v>
      </c>
      <c r="L8" t="str">
        <f>DiscreteStatsTable[[#This Row],[ProjectName]]&amp;DiscreteStatsTable[[#This Row],[Name]]&amp;DiscreteStatsTable[[#This Row],[Type]]&amp;DiscreteStatsTable[[#This Row],[Source]]</f>
        <v>Unnamed ProjectM1.QueueWaiting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34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82</v>
      </c>
      <c r="E9" t="s">
        <v>80</v>
      </c>
      <c r="F9" t="s">
        <v>81</v>
      </c>
      <c r="G9">
        <v>0</v>
      </c>
      <c r="H9">
        <v>2E+20</v>
      </c>
      <c r="I9">
        <v>0</v>
      </c>
      <c r="J9">
        <v>0</v>
      </c>
      <c r="K9">
        <v>30</v>
      </c>
      <c r="L9" t="str">
        <f>DiscreteStatsTable[[#This Row],[ProjectName]]&amp;DiscreteStatsTable[[#This Row],[Name]]&amp;DiscreteStatsTable[[#This Row],[Type]]&amp;DiscreteStatsTable[[#This Row],[Source]]</f>
        <v>Unnamed ProjectM2.QueueWaiting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30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83</v>
      </c>
      <c r="E10" t="s">
        <v>80</v>
      </c>
      <c r="F10" t="s">
        <v>81</v>
      </c>
      <c r="G10">
        <v>0</v>
      </c>
      <c r="H10">
        <v>2E+20</v>
      </c>
      <c r="I10">
        <v>0</v>
      </c>
      <c r="J10">
        <v>0</v>
      </c>
      <c r="K10">
        <v>25</v>
      </c>
      <c r="L10" t="str">
        <f>DiscreteStatsTable[[#This Row],[ProjectName]]&amp;DiscreteStatsTable[[#This Row],[Name]]&amp;DiscreteStatsTable[[#This Row],[Type]]&amp;DiscreteStatsTable[[#This Row],[Source]]</f>
        <v>Unnamed ProjectM3.QueueWaiting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25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84</v>
      </c>
      <c r="E11" t="s">
        <v>80</v>
      </c>
      <c r="F11" t="s">
        <v>81</v>
      </c>
      <c r="G11">
        <v>0</v>
      </c>
      <c r="H11">
        <v>2E+20</v>
      </c>
      <c r="I11">
        <v>0</v>
      </c>
      <c r="J11">
        <v>0</v>
      </c>
      <c r="K11">
        <v>28</v>
      </c>
      <c r="L11" t="str">
        <f>DiscreteStatsTable[[#This Row],[ProjectName]]&amp;DiscreteStatsTable[[#This Row],[Name]]&amp;DiscreteStatsTable[[#This Row],[Type]]&amp;DiscreteStatsTable[[#This Row],[Source]]</f>
        <v>Unnamed ProjectM4.QueueWaiting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28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85</v>
      </c>
      <c r="E12" t="s">
        <v>80</v>
      </c>
      <c r="F12" t="s">
        <v>81</v>
      </c>
      <c r="G12">
        <v>0</v>
      </c>
      <c r="H12">
        <v>2E+20</v>
      </c>
      <c r="I12">
        <v>0</v>
      </c>
      <c r="J12">
        <v>0</v>
      </c>
      <c r="K12">
        <v>23</v>
      </c>
      <c r="L12" t="str">
        <f>DiscreteStatsTable[[#This Row],[ProjectName]]&amp;DiscreteStatsTable[[#This Row],[Name]]&amp;DiscreteStatsTable[[#This Row],[Type]]&amp;DiscreteStatsTable[[#This Row],[Source]]</f>
        <v>Unnamed ProjectM5.QueueWaiting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23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</sheetData>
  <phoneticPr fontId="2" type="noConversion"/>
  <conditionalFormatting sqref="H2:H12 Q2:Q12">
    <cfRule type="expression" dxfId="20" priority="23">
      <formula>H2=200000000000000000000</formula>
    </cfRule>
  </conditionalFormatting>
  <conditionalFormatting sqref="H2:H12">
    <cfRule type="expression" dxfId="19" priority="21">
      <formula>H2=300000000000000000000</formula>
    </cfRule>
  </conditionalFormatting>
  <conditionalFormatting sqref="L2:Y12">
    <cfRule type="expression" dxfId="18" priority="19">
      <formula>MOD(ROW(),2)=0</formula>
    </cfRule>
  </conditionalFormatting>
  <conditionalFormatting sqref="Y2:Y12">
    <cfRule type="expression" dxfId="17" priority="14">
      <formula>Y2=0</formula>
    </cfRule>
    <cfRule type="expression" dxfId="16" priority="16">
      <formula>Y2=1</formula>
    </cfRule>
  </conditionalFormatting>
  <conditionalFormatting sqref="Y3:Y12">
    <cfRule type="expression" dxfId="15" priority="15">
      <formula>Y3=1</formula>
    </cfRule>
  </conditionalFormatting>
  <conditionalFormatting sqref="W2:W12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2 W2:W12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0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7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86</v>
      </c>
      <c r="F2" t="s">
        <v>73</v>
      </c>
      <c r="G2">
        <v>30.704546008728599</v>
      </c>
      <c r="H2">
        <v>2E+20</v>
      </c>
      <c r="I2">
        <v>0</v>
      </c>
      <c r="J2">
        <v>71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30.704546008728599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30.704546008728599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30.704546008728599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25">
      <c r="A3" t="s">
        <v>67</v>
      </c>
      <c r="B3" t="s">
        <v>70</v>
      </c>
      <c r="C3">
        <v>1</v>
      </c>
      <c r="D3" t="s">
        <v>79</v>
      </c>
      <c r="E3" t="s">
        <v>87</v>
      </c>
      <c r="F3" t="s">
        <v>81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ProjectM1.QueueNumber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25">
      <c r="A4" t="s">
        <v>67</v>
      </c>
      <c r="B4" t="s">
        <v>70</v>
      </c>
      <c r="C4">
        <v>1</v>
      </c>
      <c r="D4" t="s">
        <v>82</v>
      </c>
      <c r="E4" t="s">
        <v>87</v>
      </c>
      <c r="F4" t="s">
        <v>81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ProjectM2.QueueNumber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83</v>
      </c>
      <c r="E5" t="s">
        <v>87</v>
      </c>
      <c r="F5" t="s">
        <v>81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ProjectM3.QueueNumber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70</v>
      </c>
      <c r="C6">
        <v>1</v>
      </c>
      <c r="D6" t="s">
        <v>84</v>
      </c>
      <c r="E6" t="s">
        <v>87</v>
      </c>
      <c r="F6" t="s">
        <v>81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ProjectM4.QueueNumber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70</v>
      </c>
      <c r="C7">
        <v>1</v>
      </c>
      <c r="D7" t="s">
        <v>85</v>
      </c>
      <c r="E7" t="s">
        <v>87</v>
      </c>
      <c r="F7" t="s">
        <v>81</v>
      </c>
      <c r="G7">
        <v>0</v>
      </c>
      <c r="H7">
        <v>2E+20</v>
      </c>
      <c r="I7">
        <v>0</v>
      </c>
      <c r="J7">
        <v>0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ProjectM5.QueueNumber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70</v>
      </c>
      <c r="C8">
        <v>1</v>
      </c>
      <c r="D8" t="s">
        <v>88</v>
      </c>
      <c r="E8" t="s">
        <v>89</v>
      </c>
      <c r="F8" t="s">
        <v>90</v>
      </c>
      <c r="G8">
        <v>0.58354932235420398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0.58354932235420398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0.58354932235420398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0.58354932235420398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70</v>
      </c>
      <c r="C9">
        <v>1</v>
      </c>
      <c r="D9" t="s">
        <v>88</v>
      </c>
      <c r="E9" t="s">
        <v>91</v>
      </c>
      <c r="F9" t="s">
        <v>90</v>
      </c>
      <c r="G9">
        <v>0.58354932235420398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0.58354932235420398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0.58354932235420398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0.58354932235420398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70</v>
      </c>
      <c r="C10">
        <v>1</v>
      </c>
      <c r="D10" t="s">
        <v>88</v>
      </c>
      <c r="E10" t="s">
        <v>92</v>
      </c>
      <c r="F10" t="s">
        <v>90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70</v>
      </c>
      <c r="C11">
        <v>1</v>
      </c>
      <c r="D11" t="s">
        <v>93</v>
      </c>
      <c r="E11" t="s">
        <v>89</v>
      </c>
      <c r="F11" t="s">
        <v>90</v>
      </c>
      <c r="G11">
        <v>0.50782121745664099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ProjectResource 2Instantaneous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0.50782121745664099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0.50782121745664099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0.50782121745664099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25">
      <c r="A12" t="s">
        <v>67</v>
      </c>
      <c r="B12" t="s">
        <v>70</v>
      </c>
      <c r="C12">
        <v>1</v>
      </c>
      <c r="D12" t="s">
        <v>93</v>
      </c>
      <c r="E12" t="s">
        <v>91</v>
      </c>
      <c r="F12" t="s">
        <v>90</v>
      </c>
      <c r="G12">
        <v>0.50782121745664099</v>
      </c>
      <c r="H12">
        <v>2E+20</v>
      </c>
      <c r="I12">
        <v>0</v>
      </c>
      <c r="J12">
        <v>1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ProjectResource 2Number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0.50782121745664099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0.50782121745664099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0.50782121745664099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25">
      <c r="A13" t="s">
        <v>67</v>
      </c>
      <c r="B13" t="s">
        <v>70</v>
      </c>
      <c r="C13">
        <v>1</v>
      </c>
      <c r="D13" t="s">
        <v>93</v>
      </c>
      <c r="E13" t="s">
        <v>92</v>
      </c>
      <c r="F13" t="s">
        <v>90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ProjectResource 2Number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70</v>
      </c>
      <c r="C14">
        <v>1</v>
      </c>
      <c r="D14" t="s">
        <v>94</v>
      </c>
      <c r="E14" t="s">
        <v>89</v>
      </c>
      <c r="F14" t="s">
        <v>90</v>
      </c>
      <c r="G14">
        <v>0.53766287402363</v>
      </c>
      <c r="H14">
        <v>2E+20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ProjectResource 3Instantaneous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0.53766287402363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0.53766287402363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0.53766287402363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25">
      <c r="A15" t="s">
        <v>67</v>
      </c>
      <c r="B15" t="s">
        <v>70</v>
      </c>
      <c r="C15">
        <v>1</v>
      </c>
      <c r="D15" t="s">
        <v>94</v>
      </c>
      <c r="E15" t="s">
        <v>91</v>
      </c>
      <c r="F15" t="s">
        <v>90</v>
      </c>
      <c r="G15">
        <v>0.53766287402363</v>
      </c>
      <c r="H15">
        <v>2E+20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ProjectResource 3Number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0.53766287402363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0.53766287402363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0.53766287402363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25">
      <c r="A16" t="s">
        <v>67</v>
      </c>
      <c r="B16" t="s">
        <v>70</v>
      </c>
      <c r="C16">
        <v>1</v>
      </c>
      <c r="D16" t="s">
        <v>94</v>
      </c>
      <c r="E16" t="s">
        <v>92</v>
      </c>
      <c r="F16" t="s">
        <v>90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ProjectResource 3Number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25">
      <c r="A17" t="s">
        <v>67</v>
      </c>
      <c r="B17" t="s">
        <v>70</v>
      </c>
      <c r="C17">
        <v>1</v>
      </c>
      <c r="D17" t="s">
        <v>95</v>
      </c>
      <c r="E17" t="s">
        <v>89</v>
      </c>
      <c r="F17" t="s">
        <v>90</v>
      </c>
      <c r="G17">
        <v>0.48752045692816198</v>
      </c>
      <c r="H17">
        <v>2E+20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ProjectResource 4Instantaneous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0.48752045692816198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0.48752045692816198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0.48752045692816198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25">
      <c r="A18" t="s">
        <v>67</v>
      </c>
      <c r="B18" t="s">
        <v>70</v>
      </c>
      <c r="C18">
        <v>1</v>
      </c>
      <c r="D18" t="s">
        <v>95</v>
      </c>
      <c r="E18" t="s">
        <v>91</v>
      </c>
      <c r="F18" t="s">
        <v>90</v>
      </c>
      <c r="G18">
        <v>0.48752045692816198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ProjectResource 4Number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0.48752045692816198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0.48752045692816198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0.48752045692816198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25">
      <c r="A19" t="s">
        <v>67</v>
      </c>
      <c r="B19" t="s">
        <v>70</v>
      </c>
      <c r="C19">
        <v>1</v>
      </c>
      <c r="D19" t="s">
        <v>95</v>
      </c>
      <c r="E19" t="s">
        <v>92</v>
      </c>
      <c r="F19" t="s">
        <v>90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ProjectResource 4Number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25">
      <c r="A20" t="s">
        <v>67</v>
      </c>
      <c r="B20" t="s">
        <v>70</v>
      </c>
      <c r="C20">
        <v>1</v>
      </c>
      <c r="D20" t="s">
        <v>96</v>
      </c>
      <c r="E20" t="s">
        <v>89</v>
      </c>
      <c r="F20" t="s">
        <v>90</v>
      </c>
      <c r="G20">
        <v>0.34817881486354901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ProjectResource 5Instantaneous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0.34817881486354901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0.34817881486354901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0.34817881486354901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25">
      <c r="A21" t="s">
        <v>67</v>
      </c>
      <c r="B21" t="s">
        <v>70</v>
      </c>
      <c r="C21">
        <v>1</v>
      </c>
      <c r="D21" t="s">
        <v>96</v>
      </c>
      <c r="E21" t="s">
        <v>91</v>
      </c>
      <c r="F21" t="s">
        <v>90</v>
      </c>
      <c r="G21">
        <v>0.34817881486354901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ProjectResource 5Number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0.34817881486354901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0.34817881486354901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0.34817881486354901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25">
      <c r="A22" t="s">
        <v>67</v>
      </c>
      <c r="B22" t="s">
        <v>70</v>
      </c>
      <c r="C22">
        <v>1</v>
      </c>
      <c r="D22" t="s">
        <v>96</v>
      </c>
      <c r="E22" t="s">
        <v>92</v>
      </c>
      <c r="F22" t="s">
        <v>90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ProjectResource 5Number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4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0.28515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4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97</v>
      </c>
      <c r="E2" t="s">
        <v>98</v>
      </c>
      <c r="F2" t="s">
        <v>73</v>
      </c>
      <c r="G2">
        <v>140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140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140</v>
      </c>
      <c r="P2" cm="1">
        <f t="array" ref="P2">MAX(IF((OutputTable[GroupByKey]=OutputTable[[#This Row],[GroupByKey]]),(OutputTable[GroupByKey]=OutputTable[[#This Row],[GroupByKey]])*OutputTable[RecordedValue]))</f>
        <v>140</v>
      </c>
    </row>
    <row r="3" spans="1:16" x14ac:dyDescent="0.25">
      <c r="A3" t="s">
        <v>67</v>
      </c>
      <c r="B3" t="s">
        <v>70</v>
      </c>
      <c r="C3">
        <v>1</v>
      </c>
      <c r="D3" t="s">
        <v>99</v>
      </c>
      <c r="E3" t="s">
        <v>100</v>
      </c>
      <c r="F3" t="s">
        <v>73</v>
      </c>
      <c r="G3">
        <v>140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140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140</v>
      </c>
      <c r="P3" cm="1">
        <f t="array" ref="P3">MAX(IF((OutputTable[GroupByKey]=OutputTable[[#This Row],[GroupByKey]]),(OutputTable[GroupByKey]=OutputTable[[#This Row],[GroupByKey]])*OutputTable[RecordedValue]))</f>
        <v>140</v>
      </c>
    </row>
    <row r="4" spans="1:16" x14ac:dyDescent="0.25">
      <c r="A4" t="s">
        <v>67</v>
      </c>
      <c r="B4" t="s">
        <v>70</v>
      </c>
      <c r="C4">
        <v>1</v>
      </c>
      <c r="D4" t="s">
        <v>101</v>
      </c>
      <c r="E4" t="s">
        <v>102</v>
      </c>
      <c r="F4" t="s">
        <v>90</v>
      </c>
      <c r="G4">
        <v>34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34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34</v>
      </c>
      <c r="P4" cm="1">
        <f t="array" ref="P4">MAX(IF((OutputTable[GroupByKey]=OutputTable[[#This Row],[GroupByKey]]),(OutputTable[GroupByKey]=OutputTable[[#This Row],[GroupByKey]])*OutputTable[RecordedValue]))</f>
        <v>34</v>
      </c>
    </row>
    <row r="5" spans="1:16" x14ac:dyDescent="0.25">
      <c r="A5" t="s">
        <v>67</v>
      </c>
      <c r="B5" t="s">
        <v>70</v>
      </c>
      <c r="C5">
        <v>1</v>
      </c>
      <c r="D5" t="s">
        <v>103</v>
      </c>
      <c r="E5" t="s">
        <v>104</v>
      </c>
      <c r="F5" t="s">
        <v>90</v>
      </c>
      <c r="G5">
        <v>0.58354932235420398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0.58354932235420398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0.58354932235420398</v>
      </c>
      <c r="P5" cm="1">
        <f t="array" ref="P5">MAX(IF((OutputTable[GroupByKey]=OutputTable[[#This Row],[GroupByKey]]),(OutputTable[GroupByKey]=OutputTable[[#This Row],[GroupByKey]])*OutputTable[RecordedValue]))</f>
        <v>0.58354932235420398</v>
      </c>
    </row>
    <row r="6" spans="1:16" x14ac:dyDescent="0.25">
      <c r="A6" t="s">
        <v>67</v>
      </c>
      <c r="B6" t="s">
        <v>70</v>
      </c>
      <c r="C6">
        <v>1</v>
      </c>
      <c r="D6" t="s">
        <v>105</v>
      </c>
      <c r="E6" t="s">
        <v>102</v>
      </c>
      <c r="F6" t="s">
        <v>90</v>
      </c>
      <c r="G6">
        <v>30</v>
      </c>
      <c r="H6">
        <v>0</v>
      </c>
      <c r="I6" t="str">
        <f>OutputTable[[#This Row],[ProjectName]]&amp;OutputTable[[#This Row],[Name]]&amp;OutputTable[[#This Row],[Type]]&amp;OutputTable[[#This Row],[Source]]</f>
        <v>Unnamed ProjectResource 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30</v>
      </c>
      <c r="P6" cm="1">
        <f t="array" ref="P6">MAX(IF((OutputTable[GroupByKey]=OutputTable[[#This Row],[GroupByKey]]),(OutputTable[GroupByKey]=OutputTable[[#This Row],[GroupByKey]])*OutputTable[RecordedValue]))</f>
        <v>30</v>
      </c>
    </row>
    <row r="7" spans="1:16" x14ac:dyDescent="0.25">
      <c r="A7" t="s">
        <v>67</v>
      </c>
      <c r="B7" t="s">
        <v>70</v>
      </c>
      <c r="C7">
        <v>1</v>
      </c>
      <c r="D7" t="s">
        <v>106</v>
      </c>
      <c r="E7" t="s">
        <v>104</v>
      </c>
      <c r="F7" t="s">
        <v>90</v>
      </c>
      <c r="G7">
        <v>0.50782121745664099</v>
      </c>
      <c r="H7">
        <v>0</v>
      </c>
      <c r="I7" t="str">
        <f>OutputTable[[#This Row],[ProjectName]]&amp;OutputTable[[#This Row],[Name]]&amp;OutputTable[[#This Row],[Type]]&amp;OutputTable[[#This Row],[Source]]</f>
        <v>Unnamed ProjectResource 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0.50782121745664099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0.50782121745664099</v>
      </c>
      <c r="P7" cm="1">
        <f t="array" ref="P7">MAX(IF((OutputTable[GroupByKey]=OutputTable[[#This Row],[GroupByKey]]),(OutputTable[GroupByKey]=OutputTable[[#This Row],[GroupByKey]])*OutputTable[RecordedValue]))</f>
        <v>0.50782121745664099</v>
      </c>
    </row>
    <row r="8" spans="1:16" x14ac:dyDescent="0.25">
      <c r="A8" t="s">
        <v>67</v>
      </c>
      <c r="B8" t="s">
        <v>70</v>
      </c>
      <c r="C8">
        <v>1</v>
      </c>
      <c r="D8" t="s">
        <v>107</v>
      </c>
      <c r="E8" t="s">
        <v>102</v>
      </c>
      <c r="F8" t="s">
        <v>90</v>
      </c>
      <c r="G8">
        <v>25</v>
      </c>
      <c r="H8">
        <v>0</v>
      </c>
      <c r="I8" t="str">
        <f>OutputTable[[#This Row],[ProjectName]]&amp;OutputTable[[#This Row],[Name]]&amp;OutputTable[[#This Row],[Type]]&amp;OutputTable[[#This Row],[Source]]</f>
        <v>Unnamed ProjectResource 3.NumberSeizedTotal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25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25</v>
      </c>
      <c r="P8" cm="1">
        <f t="array" ref="P8">MAX(IF((OutputTable[GroupByKey]=OutputTable[[#This Row],[GroupByKey]]),(OutputTable[GroupByKey]=OutputTable[[#This Row],[GroupByKey]])*OutputTable[RecordedValue]))</f>
        <v>25</v>
      </c>
    </row>
    <row r="9" spans="1:16" x14ac:dyDescent="0.25">
      <c r="A9" t="s">
        <v>67</v>
      </c>
      <c r="B9" t="s">
        <v>70</v>
      </c>
      <c r="C9">
        <v>1</v>
      </c>
      <c r="D9" t="s">
        <v>108</v>
      </c>
      <c r="E9" t="s">
        <v>104</v>
      </c>
      <c r="F9" t="s">
        <v>90</v>
      </c>
      <c r="G9">
        <v>0.53766287402363</v>
      </c>
      <c r="H9">
        <v>0</v>
      </c>
      <c r="I9" t="str">
        <f>OutputTable[[#This Row],[ProjectName]]&amp;OutputTable[[#This Row],[Name]]&amp;OutputTable[[#This Row],[Type]]&amp;OutputTable[[#This Row],[Source]]</f>
        <v>Unnamed ProjectResource 3.ScheduledUtilizationScheduled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0.53766287402363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0.53766287402363</v>
      </c>
      <c r="P9" cm="1">
        <f t="array" ref="P9">MAX(IF((OutputTable[GroupByKey]=OutputTable[[#This Row],[GroupByKey]]),(OutputTable[GroupByKey]=OutputTable[[#This Row],[GroupByKey]])*OutputTable[RecordedValue]))</f>
        <v>0.53766287402363</v>
      </c>
    </row>
    <row r="10" spans="1:16" x14ac:dyDescent="0.25">
      <c r="A10" t="s">
        <v>67</v>
      </c>
      <c r="B10" t="s">
        <v>70</v>
      </c>
      <c r="C10">
        <v>1</v>
      </c>
      <c r="D10" t="s">
        <v>109</v>
      </c>
      <c r="E10" t="s">
        <v>102</v>
      </c>
      <c r="F10" t="s">
        <v>90</v>
      </c>
      <c r="G10">
        <v>28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ProjectResource 4.NumberSeizedTotal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28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28</v>
      </c>
      <c r="P10" cm="1">
        <f t="array" ref="P10">MAX(IF((OutputTable[GroupByKey]=OutputTable[[#This Row],[GroupByKey]]),(OutputTable[GroupByKey]=OutputTable[[#This Row],[GroupByKey]])*OutputTable[RecordedValue]))</f>
        <v>28</v>
      </c>
    </row>
    <row r="11" spans="1:16" x14ac:dyDescent="0.25">
      <c r="A11" t="s">
        <v>67</v>
      </c>
      <c r="B11" t="s">
        <v>70</v>
      </c>
      <c r="C11">
        <v>1</v>
      </c>
      <c r="D11" t="s">
        <v>110</v>
      </c>
      <c r="E11" t="s">
        <v>104</v>
      </c>
      <c r="F11" t="s">
        <v>90</v>
      </c>
      <c r="G11">
        <v>0.48752045692816198</v>
      </c>
      <c r="H11">
        <v>0</v>
      </c>
      <c r="I11" t="str">
        <f>OutputTable[[#This Row],[ProjectName]]&amp;OutputTable[[#This Row],[Name]]&amp;OutputTable[[#This Row],[Type]]&amp;OutputTable[[#This Row],[Source]]</f>
        <v>Unnamed ProjectResource 4.ScheduledUtilizationScheduled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0.48752045692816198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0.48752045692816198</v>
      </c>
      <c r="P11" cm="1">
        <f t="array" ref="P11">MAX(IF((OutputTable[GroupByKey]=OutputTable[[#This Row],[GroupByKey]]),(OutputTable[GroupByKey]=OutputTable[[#This Row],[GroupByKey]])*OutputTable[RecordedValue]))</f>
        <v>0.48752045692816198</v>
      </c>
    </row>
    <row r="12" spans="1:16" x14ac:dyDescent="0.25">
      <c r="A12" t="s">
        <v>67</v>
      </c>
      <c r="B12" t="s">
        <v>70</v>
      </c>
      <c r="C12">
        <v>1</v>
      </c>
      <c r="D12" t="s">
        <v>111</v>
      </c>
      <c r="E12" t="s">
        <v>102</v>
      </c>
      <c r="F12" t="s">
        <v>90</v>
      </c>
      <c r="G12">
        <v>23</v>
      </c>
      <c r="H12">
        <v>0</v>
      </c>
      <c r="I12" t="str">
        <f>OutputTable[[#This Row],[ProjectName]]&amp;OutputTable[[#This Row],[Name]]&amp;OutputTable[[#This Row],[Type]]&amp;OutputTable[[#This Row],[Source]]</f>
        <v>Unnamed ProjectResource 5.NumberSeizedTotal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23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23</v>
      </c>
      <c r="P12" cm="1">
        <f t="array" ref="P12">MAX(IF((OutputTable[GroupByKey]=OutputTable[[#This Row],[GroupByKey]]),(OutputTable[GroupByKey]=OutputTable[[#This Row],[GroupByKey]])*OutputTable[RecordedValue]))</f>
        <v>23</v>
      </c>
    </row>
    <row r="13" spans="1:16" x14ac:dyDescent="0.25">
      <c r="A13" t="s">
        <v>67</v>
      </c>
      <c r="B13" t="s">
        <v>70</v>
      </c>
      <c r="C13">
        <v>1</v>
      </c>
      <c r="D13" t="s">
        <v>112</v>
      </c>
      <c r="E13" t="s">
        <v>104</v>
      </c>
      <c r="F13" t="s">
        <v>90</v>
      </c>
      <c r="G13">
        <v>0.34817881486354901</v>
      </c>
      <c r="H13">
        <v>0</v>
      </c>
      <c r="I13" t="str">
        <f>OutputTable[[#This Row],[ProjectName]]&amp;OutputTable[[#This Row],[Name]]&amp;OutputTable[[#This Row],[Type]]&amp;OutputTable[[#This Row],[Source]]</f>
        <v>Unnamed ProjectResource 5.ScheduledUtilizationScheduled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0.34817881486354901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0.34817881486354901</v>
      </c>
      <c r="P13" cm="1">
        <f t="array" ref="P13">MAX(IF((OutputTable[GroupByKey]=OutputTable[[#This Row],[GroupByKey]]),(OutputTable[GroupByKey]=OutputTable[[#This Row],[GroupByKey]])*OutputTable[RecordedValue]))</f>
        <v>0.34817881486354901</v>
      </c>
    </row>
    <row r="14" spans="1:16" x14ac:dyDescent="0.25">
      <c r="A14" t="s">
        <v>67</v>
      </c>
      <c r="B14" t="s">
        <v>70</v>
      </c>
      <c r="C14">
        <v>1</v>
      </c>
      <c r="D14" t="s">
        <v>113</v>
      </c>
      <c r="E14" t="s">
        <v>100</v>
      </c>
      <c r="F14" t="s">
        <v>114</v>
      </c>
      <c r="G14">
        <v>140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140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140</v>
      </c>
      <c r="P14" cm="1">
        <f t="array" ref="P14">MAX(IF((OutputTable[GroupByKey]=OutputTable[[#This Row],[GroupByKey]]),(OutputTable[GroupByKey]=OutputTable[[#This Row],[GroupByKey]])*OutputTable[RecordedValue]))</f>
        <v>140</v>
      </c>
    </row>
  </sheetData>
  <phoneticPr fontId="2" type="noConversion"/>
  <conditionalFormatting sqref="I2:P14">
    <cfRule type="expression" dxfId="3" priority="2">
      <formula>MOD(ROW(),2)=0</formula>
    </cfRule>
  </conditionalFormatting>
  <conditionalFormatting sqref="N2:N14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Максим Терешкович</cp:lastModifiedBy>
  <cp:lastPrinted>2022-03-22T10:33:10Z</cp:lastPrinted>
  <dcterms:created xsi:type="dcterms:W3CDTF">2020-06-29T21:30:31Z</dcterms:created>
  <dcterms:modified xsi:type="dcterms:W3CDTF">2023-12-18T09:46:43Z</dcterms:modified>
</cp:coreProperties>
</file>